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uHoi" sheetId="1" state="visible" r:id="rId3"/>
    <sheet name="HuongDan" sheetId="2" state="visible" r:id="rId4"/>
  </sheets>
  <definedNames>
    <definedName function="false" hidden="true" localSheetId="0" name="_xlnm._FilterDatabase" vbProcedure="false">CauHoi!$A$1:$P$11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<sst xmlns="http://schemas.openxmlformats.org/spreadsheetml/2006/main" count="155" uniqueCount="98">
  <si>
    <t xml:space="preserve">Chủ đề</t>
  </si>
  <si>
    <t xml:space="preserve">Nội dung</t>
  </si>
  <si>
    <t xml:space="preserve">Loại</t>
  </si>
  <si>
    <t xml:space="preserve">Độ khó</t>
  </si>
  <si>
    <t xml:space="preserve">Đáp án</t>
  </si>
  <si>
    <t xml:space="preserve">Phạm vi</t>
  </si>
  <si>
    <t xml:space="preserve">Bộ phận</t>
  </si>
  <si>
    <t xml:space="preserve">Lựa chọn 1</t>
  </si>
  <si>
    <t xml:space="preserve">Lựa chọn 2</t>
  </si>
  <si>
    <t xml:space="preserve">Lựa chọn 3</t>
  </si>
  <si>
    <t xml:space="preserve">Lựa chọn 4</t>
  </si>
  <si>
    <t xml:space="preserve">Lựa chọn 5</t>
  </si>
  <si>
    <t xml:space="preserve">Lựa chọn 6</t>
  </si>
  <si>
    <t xml:space="preserve">Lựa chọn 7</t>
  </si>
  <si>
    <t xml:space="preserve">Lựa chọn 8</t>
  </si>
  <si>
    <t xml:space="preserve">Đáp án đúng</t>
  </si>
  <si>
    <t xml:space="preserve">Phòng cháy chữa cháy</t>
  </si>
  <si>
    <t xml:space="preserve">Khi phát hiện có cháy, cần gọi số điện thoại nào để báo cho lực lượng Cảnh sát phòng cháy, chữa cháy và cứu nạn, cứu hộ?</t>
  </si>
  <si>
    <t xml:space="preserve">Lý thuyết</t>
  </si>
  <si>
    <t xml:space="preserve">Dễ</t>
  </si>
  <si>
    <t xml:space="preserve">Chọn 1</t>
  </si>
  <si>
    <t xml:space="preserve">Chung</t>
  </si>
  <si>
    <t xml:space="preserve">113</t>
  </si>
  <si>
    <t xml:space="preserve">114</t>
  </si>
  <si>
    <t xml:space="preserve">115</t>
  </si>
  <si>
    <t xml:space="preserve">911</t>
  </si>
  <si>
    <t xml:space="preserve">2</t>
  </si>
  <si>
    <t xml:space="preserve">Khi có cháy trong nhà và khói dày đặc, cách di chuyển thoát nạn nào sau đây là đúng?</t>
  </si>
  <si>
    <t xml:space="preserve">Đứng thẳng và chạy thật nhanh qua vùng có khói.</t>
  </si>
  <si>
    <t xml:space="preserve">Đi thang máy xuống tầng trệt cho nhanh.</t>
  </si>
  <si>
    <t xml:space="preserve">Cúi thấp người, dùng khăn ẩm che mũi và miệng rồi di chuyển ra ngoài.</t>
  </si>
  <si>
    <t xml:space="preserve">Mở hết cửa các phòng để khói thoát ra ngoài.</t>
  </si>
  <si>
    <t xml:space="preserve">3</t>
  </si>
  <si>
    <t xml:space="preserve">Khi xảy ra cháy trong tòa nhà, phương tiện nào sau đây KHÔNG được sử dụng để thoát nạn?</t>
  </si>
  <si>
    <t xml:space="preserve">Thang máy.</t>
  </si>
  <si>
    <t xml:space="preserve">Cầu thang bộ thoát hiểm.</t>
  </si>
  <si>
    <t xml:space="preserve">Lối thoát nạn có biển chỉ dẫn.</t>
  </si>
  <si>
    <t xml:space="preserve">Cửa thoát hiểm.</t>
  </si>
  <si>
    <t xml:space="preserve">1</t>
  </si>
  <si>
    <t xml:space="preserve">Ba yếu tố cần có đồng thời để sự cháy phát sinh (tam giác lửa) là gì?</t>
  </si>
  <si>
    <t xml:space="preserve">Trung bình</t>
  </si>
  <si>
    <t xml:space="preserve">Chất cháy, nhiệt độ thấp và khí nitơ.</t>
  </si>
  <si>
    <t xml:space="preserve">Chất cháy, nước và gió.</t>
  </si>
  <si>
    <t xml:space="preserve">Chất cháy, ánh sáng và chất xúc tác.</t>
  </si>
  <si>
    <t xml:space="preserve">Chất cháy, chất oxy hóa (oxy) và nguồn nhiệt.</t>
  </si>
  <si>
    <t xml:space="preserve">4</t>
  </si>
  <si>
    <t xml:space="preserve">Với bình chữa cháy xách tay có đồng hồ áp suất, bình sẵn sàng sử dụng khi kim đồng hồ chỉ ở vùng nào?</t>
  </si>
  <si>
    <t xml:space="preserve">Vùng màu đỏ.</t>
  </si>
  <si>
    <t xml:space="preserve">Vùng màu xanh.</t>
  </si>
  <si>
    <t xml:space="preserve">Vị trí số 0.</t>
  </si>
  <si>
    <t xml:space="preserve">Bất kỳ vị trí nào cũng được.</t>
  </si>
  <si>
    <t xml:space="preserve">Nguyên tắc nào sau đây là đúng khi sử dụng bình chữa cháy xách tay?</t>
  </si>
  <si>
    <t xml:space="preserve">Đứng cuối hướng gió và phun vào ngọn lửa.</t>
  </si>
  <si>
    <t xml:space="preserve">Phun lên trần nhà phía trên đám cháy.</t>
  </si>
  <si>
    <t xml:space="preserve">Đứng đầu hướng gió và hướng vòi phun vào gốc lửa.</t>
  </si>
  <si>
    <t xml:space="preserve">Phun vào khu vực xung quanh, tránh phun vào gốc lửa.</t>
  </si>
  <si>
    <t xml:space="preserve">Khi thiết bị điện đang có điện bị cháy, việc cần làm đầu tiên là gì?</t>
  </si>
  <si>
    <t xml:space="preserve">Dùng nước dội trực tiếp vào thiết bị đang cháy.</t>
  </si>
  <si>
    <t xml:space="preserve">Dùng tay chạm vào thiết bị để kiểm tra xem còn điện không.</t>
  </si>
  <si>
    <t xml:space="preserve">Chạy lại gần quan sát mức độ cháy.</t>
  </si>
  <si>
    <t xml:space="preserve">Ngắt nguồn điện nếu điều kiện cho phép an toàn, rồi mới tiến hành chữa cháy.</t>
  </si>
  <si>
    <t xml:space="preserve">Tại nơi làm việc, lối thoát nạn cần được duy trì như thế nào?</t>
  </si>
  <si>
    <t xml:space="preserve">Luôn thông thoáng, không bị che chắn hay để vật cản và có biển chỉ dẫn.</t>
  </si>
  <si>
    <t xml:space="preserve">Có thể khóa cửa vào ban đêm.</t>
  </si>
  <si>
    <t xml:space="preserve">Có thể dùng làm nơi chứa tạm hàng hóa.</t>
  </si>
  <si>
    <t xml:space="preserve">Chỉ cần mở khi có kiểm tra.</t>
  </si>
  <si>
    <t xml:space="preserve">Nguyên nhân nào sau đây thường gây cháy do điện?</t>
  </si>
  <si>
    <t xml:space="preserve">Rút phích cắm khi không sử dụng thiết bị.</t>
  </si>
  <si>
    <t xml:space="preserve">Dùng dây điện có tiết diện phù hợp với công suất.</t>
  </si>
  <si>
    <t xml:space="preserve">Cắm nhiều thiết bị công suất lớn vào cùng một ổ cắm gây quá tải.</t>
  </si>
  <si>
    <t xml:space="preserve">Lắp thiết bị đóng cắt bảo vệ (aptomat) cho mạch điện.</t>
  </si>
  <si>
    <t xml:space="preserve">Dùng cát hoặc chăn dày phủ kín một đám cháy nhỏ chủ yếu áp dụng nguyên lý chữa cháy nào?</t>
  </si>
  <si>
    <t xml:space="preserve">Khó</t>
  </si>
  <si>
    <t xml:space="preserve">Làm lạnh đám cháy.</t>
  </si>
  <si>
    <t xml:space="preserve">Cách ly chất cháy với oxy (làm ngạt).</t>
  </si>
  <si>
    <t xml:space="preserve">Đưa chất cháy ra khỏi khu vực cháy.</t>
  </si>
  <si>
    <t xml:space="preserve">Ức chế phản ứng dây chuyền của sự cháy.</t>
  </si>
  <si>
    <t xml:space="preserve">Cột</t>
  </si>
  <si>
    <t xml:space="preserve">Giải thích</t>
  </si>
  <si>
    <t xml:space="preserve">Toàn bộ file dùng chung 1 chủ đề: "Phòng cháy chữa cháy".</t>
  </si>
  <si>
    <t xml:space="preserve">Nội dung câu hỏi.</t>
  </si>
  <si>
    <t xml:space="preserve">Lý thuyết hoặc Bài tập.</t>
  </si>
  <si>
    <t xml:space="preserve">Dễ / Trung bình / Khó.</t>
  </si>
  <si>
    <t xml:space="preserve">Chọn 1 (single) hoặc Chọn nhiều (multiple).</t>
  </si>
  <si>
    <t xml:space="preserve">Chung (mọi bộ phận) hoặc Riêng (thuộc 1 bộ phận cụ thể).</t>
  </si>
  <si>
    <t xml:space="preserve">Bắt buộc nếu Phạm vi = Riêng. Phải là tên bộ phận ĐÃ TỒN TẠI trong hệ thống (đúng chính tả, kể cả chữ hoa/thường).</t>
  </si>
  <si>
    <t xml:space="preserve">Lựa chọn 1-8</t>
  </si>
  <si>
    <t xml:space="preserve">Nội dung các phương án trả lời.</t>
  </si>
  <si>
    <t xml:space="preserve">Số thứ tự phương án đúng, cách nhau dấu , hoặc ; (vd: 2 hoặc 1,3).</t>
  </si>
  <si>
    <t xml:space="preserve">Thống kê file này</t>
  </si>
  <si>
    <t xml:space="preserve">Tổng số câu</t>
  </si>
  <si>
    <t xml:space="preserve">Câu Chung</t>
  </si>
  <si>
    <t xml:space="preserve">Câu Riêng</t>
  </si>
  <si>
    <t xml:space="preserve">Số bộ phận có câu Riêng</t>
  </si>
  <si>
    <t xml:space="preserve">Câu Dễ</t>
  </si>
  <si>
    <t xml:space="preserve">Câu Trung bình</t>
  </si>
  <si>
    <t xml:space="preserve">Câu Khó</t>
  </si>
  <si>
    <t xml:space="preserve">Câu Chọn nhiều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</si>
</sst>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C9D6"/>
      </left>
      <right style="thin">
        <color rgb="FFBFC9D6"/>
      </right>
      <top style="thin">
        <color rgb="FFBFC9D6"/>
      </top>
      <bottom style="thin">
        <color rgb="FFBFC9D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4E7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C9D6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58"/>
    <col collapsed="false" customWidth="true" hidden="false" outlineLevel="0" max="3" min="3" style="1" width="11"/>
    <col collapsed="false" customWidth="true" hidden="false" outlineLevel="0" max="5" min="4" style="1" width="12"/>
    <col collapsed="false" customWidth="true" hidden="false" outlineLevel="0" max="6" min="6" style="1" width="9"/>
    <col collapsed="false" customWidth="true" hidden="false" outlineLevel="0" max="7" min="7" style="1" width="22"/>
    <col collapsed="false" customWidth="true" hidden="false" outlineLevel="0" max="15" min="8" style="1" width="34"/>
    <col collapsed="false" customWidth="true" hidden="false" outlineLevel="0" max="16" min="16" style="1" width="12"/>
  </cols>
  <sheetData>
    <row r="1" customFormat="false" ht="24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customFormat="false" ht="46.5" hidden="false" customHeight="true" outlineLevel="0" collapsed="false">
      <c r="A2" s="3" t="s">
        <v>16</v>
      </c>
      <c r="B2" s="3" t="s">
        <v>17</v>
      </c>
      <c r="C2" s="4" t="s">
        <v>18</v>
      </c>
      <c r="D2" s="4" t="s">
        <v>19</v>
      </c>
      <c r="E2" s="4" t="s">
        <v>20</v>
      </c>
      <c r="F2" s="4" t="s">
        <v>21</v>
      </c>
      <c r="G2" s="3"/>
      <c r="H2" s="3" t="s">
        <v>22</v>
      </c>
      <c r="I2" s="3" t="s">
        <v>23</v>
      </c>
      <c r="J2" s="3" t="s">
        <v>24</v>
      </c>
      <c r="K2" s="3" t="s">
        <v>25</v>
      </c>
      <c r="L2" s="3"/>
      <c r="M2" s="3"/>
      <c r="N2" s="3"/>
      <c r="O2" s="3"/>
      <c r="P2" s="5" t="s">
        <v>26</v>
      </c>
    </row>
    <row r="3" customFormat="false" ht="46.5" hidden="false" customHeight="true" outlineLevel="0" collapsed="false">
      <c r="A3" s="3" t="s">
        <v>16</v>
      </c>
      <c r="B3" s="3" t="s">
        <v>27</v>
      </c>
      <c r="C3" s="4" t="s">
        <v>18</v>
      </c>
      <c r="D3" s="4" t="s">
        <v>19</v>
      </c>
      <c r="E3" s="4" t="s">
        <v>20</v>
      </c>
      <c r="F3" s="4" t="s">
        <v>21</v>
      </c>
      <c r="G3" s="3"/>
      <c r="H3" s="3" t="s">
        <v>28</v>
      </c>
      <c r="I3" s="3" t="s">
        <v>29</v>
      </c>
      <c r="J3" s="3" t="s">
        <v>30</v>
      </c>
      <c r="K3" s="3" t="s">
        <v>31</v>
      </c>
      <c r="L3" s="3"/>
      <c r="M3" s="3"/>
      <c r="N3" s="3"/>
      <c r="O3" s="3"/>
      <c r="P3" s="5" t="s">
        <v>32</v>
      </c>
    </row>
    <row r="4" customFormat="false" ht="33" hidden="false" customHeight="true" outlineLevel="0" collapsed="false">
      <c r="A4" s="3" t="s">
        <v>16</v>
      </c>
      <c r="B4" s="3" t="s">
        <v>33</v>
      </c>
      <c r="C4" s="4" t="s">
        <v>18</v>
      </c>
      <c r="D4" s="4" t="s">
        <v>19</v>
      </c>
      <c r="E4" s="4" t="s">
        <v>20</v>
      </c>
      <c r="F4" s="4" t="s">
        <v>21</v>
      </c>
      <c r="G4" s="3"/>
      <c r="H4" s="3" t="s">
        <v>34</v>
      </c>
      <c r="I4" s="3" t="s">
        <v>35</v>
      </c>
      <c r="J4" s="3" t="s">
        <v>36</v>
      </c>
      <c r="K4" s="3" t="s">
        <v>37</v>
      </c>
      <c r="L4" s="3"/>
      <c r="M4" s="3"/>
      <c r="N4" s="3"/>
      <c r="O4" s="3"/>
      <c r="P4" s="5" t="s">
        <v>38</v>
      </c>
    </row>
    <row r="5" customFormat="false" ht="33" hidden="false" customHeight="true" outlineLevel="0" collapsed="false">
      <c r="A5" s="3" t="s">
        <v>16</v>
      </c>
      <c r="B5" s="3" t="s">
        <v>39</v>
      </c>
      <c r="C5" s="4" t="s">
        <v>18</v>
      </c>
      <c r="D5" s="4" t="s">
        <v>40</v>
      </c>
      <c r="E5" s="4" t="s">
        <v>20</v>
      </c>
      <c r="F5" s="4" t="s">
        <v>21</v>
      </c>
      <c r="G5" s="3"/>
      <c r="H5" s="3" t="s">
        <v>41</v>
      </c>
      <c r="I5" s="3" t="s">
        <v>42</v>
      </c>
      <c r="J5" s="3" t="s">
        <v>43</v>
      </c>
      <c r="K5" s="3" t="s">
        <v>44</v>
      </c>
      <c r="L5" s="3"/>
      <c r="M5" s="3"/>
      <c r="N5" s="3"/>
      <c r="O5" s="3"/>
      <c r="P5" s="5" t="s">
        <v>45</v>
      </c>
    </row>
    <row r="6" customFormat="false" ht="33" hidden="false" customHeight="true" outlineLevel="0" collapsed="false">
      <c r="A6" s="3" t="s">
        <v>16</v>
      </c>
      <c r="B6" s="3" t="s">
        <v>46</v>
      </c>
      <c r="C6" s="4" t="s">
        <v>18</v>
      </c>
      <c r="D6" s="4" t="s">
        <v>40</v>
      </c>
      <c r="E6" s="4" t="s">
        <v>20</v>
      </c>
      <c r="F6" s="4" t="s">
        <v>21</v>
      </c>
      <c r="G6" s="3"/>
      <c r="H6" s="3" t="s">
        <v>47</v>
      </c>
      <c r="I6" s="3" t="s">
        <v>48</v>
      </c>
      <c r="J6" s="3" t="s">
        <v>49</v>
      </c>
      <c r="K6" s="3" t="s">
        <v>50</v>
      </c>
      <c r="L6" s="3"/>
      <c r="M6" s="3"/>
      <c r="N6" s="3"/>
      <c r="O6" s="3"/>
      <c r="P6" s="5" t="s">
        <v>26</v>
      </c>
    </row>
    <row r="7" customFormat="false" ht="33" hidden="false" customHeight="true" outlineLevel="0" collapsed="false">
      <c r="A7" s="3" t="s">
        <v>16</v>
      </c>
      <c r="B7" s="3" t="s">
        <v>51</v>
      </c>
      <c r="C7" s="4" t="s">
        <v>18</v>
      </c>
      <c r="D7" s="4" t="s">
        <v>40</v>
      </c>
      <c r="E7" s="4" t="s">
        <v>20</v>
      </c>
      <c r="F7" s="4" t="s">
        <v>21</v>
      </c>
      <c r="G7" s="3"/>
      <c r="H7" s="3" t="s">
        <v>52</v>
      </c>
      <c r="I7" s="3" t="s">
        <v>53</v>
      </c>
      <c r="J7" s="3" t="s">
        <v>54</v>
      </c>
      <c r="K7" s="3" t="s">
        <v>55</v>
      </c>
      <c r="L7" s="3"/>
      <c r="M7" s="3"/>
      <c r="N7" s="3"/>
      <c r="O7" s="3"/>
      <c r="P7" s="5" t="s">
        <v>32</v>
      </c>
    </row>
    <row r="8" customFormat="false" ht="46.5" hidden="false" customHeight="true" outlineLevel="0" collapsed="false">
      <c r="A8" s="3" t="s">
        <v>16</v>
      </c>
      <c r="B8" s="3" t="s">
        <v>56</v>
      </c>
      <c r="C8" s="4" t="s">
        <v>18</v>
      </c>
      <c r="D8" s="4" t="s">
        <v>19</v>
      </c>
      <c r="E8" s="4" t="s">
        <v>20</v>
      </c>
      <c r="F8" s="4" t="s">
        <v>21</v>
      </c>
      <c r="G8" s="3"/>
      <c r="H8" s="3" t="s">
        <v>57</v>
      </c>
      <c r="I8" s="3" t="s">
        <v>58</v>
      </c>
      <c r="J8" s="3" t="s">
        <v>59</v>
      </c>
      <c r="K8" s="3" t="s">
        <v>60</v>
      </c>
      <c r="L8" s="3"/>
      <c r="M8" s="3"/>
      <c r="N8" s="3"/>
      <c r="O8" s="3"/>
      <c r="P8" s="5" t="s">
        <v>45</v>
      </c>
    </row>
    <row r="9" customFormat="false" ht="46.5" hidden="false" customHeight="true" outlineLevel="0" collapsed="false">
      <c r="A9" s="3" t="s">
        <v>16</v>
      </c>
      <c r="B9" s="3" t="s">
        <v>61</v>
      </c>
      <c r="C9" s="4" t="s">
        <v>18</v>
      </c>
      <c r="D9" s="4" t="s">
        <v>19</v>
      </c>
      <c r="E9" s="4" t="s">
        <v>20</v>
      </c>
      <c r="F9" s="4" t="s">
        <v>21</v>
      </c>
      <c r="G9" s="3"/>
      <c r="H9" s="3" t="s">
        <v>62</v>
      </c>
      <c r="I9" s="3" t="s">
        <v>63</v>
      </c>
      <c r="J9" s="3" t="s">
        <v>64</v>
      </c>
      <c r="K9" s="3" t="s">
        <v>65</v>
      </c>
      <c r="L9" s="3"/>
      <c r="M9" s="3"/>
      <c r="N9" s="3"/>
      <c r="O9" s="3"/>
      <c r="P9" s="5" t="s">
        <v>38</v>
      </c>
    </row>
    <row r="10" customFormat="false" ht="46.5" hidden="false" customHeight="true" outlineLevel="0" collapsed="false">
      <c r="A10" s="3" t="s">
        <v>16</v>
      </c>
      <c r="B10" s="3" t="s">
        <v>66</v>
      </c>
      <c r="C10" s="4" t="s">
        <v>18</v>
      </c>
      <c r="D10" s="4" t="s">
        <v>40</v>
      </c>
      <c r="E10" s="4" t="s">
        <v>20</v>
      </c>
      <c r="F10" s="4" t="s">
        <v>21</v>
      </c>
      <c r="G10" s="3"/>
      <c r="H10" s="3" t="s">
        <v>67</v>
      </c>
      <c r="I10" s="3" t="s">
        <v>68</v>
      </c>
      <c r="J10" s="3" t="s">
        <v>69</v>
      </c>
      <c r="K10" s="3" t="s">
        <v>70</v>
      </c>
      <c r="L10" s="3"/>
      <c r="M10" s="3"/>
      <c r="N10" s="3"/>
      <c r="O10" s="3"/>
      <c r="P10" s="5" t="s">
        <v>32</v>
      </c>
    </row>
    <row r="11" customFormat="false" ht="33" hidden="false" customHeight="true" outlineLevel="0" collapsed="false">
      <c r="A11" s="3" t="s">
        <v>16</v>
      </c>
      <c r="B11" s="3" t="s">
        <v>71</v>
      </c>
      <c r="C11" s="4" t="s">
        <v>18</v>
      </c>
      <c r="D11" s="4" t="s">
        <v>72</v>
      </c>
      <c r="E11" s="4" t="s">
        <v>20</v>
      </c>
      <c r="F11" s="4" t="s">
        <v>21</v>
      </c>
      <c r="G11" s="3"/>
      <c r="H11" s="3" t="s">
        <v>73</v>
      </c>
      <c r="I11" s="3" t="s">
        <v>74</v>
      </c>
      <c r="J11" s="3" t="s">
        <v>75</v>
      </c>
      <c r="K11" s="3" t="s">
        <v>76</v>
      </c>
      <c r="L11" s="3"/>
      <c r="M11" s="3"/>
      <c r="N11" s="3"/>
      <c r="O11" s="3"/>
      <c r="P11" s="5" t="s">
        <v>26</v>
      </c>
    </row>
  </sheetData>
  <autoFilter ref="A1:P11"/>
  <dataValidations count="4">
    <dataValidation allowBlank="true" errorStyle="stop" operator="between" showDropDown="false" showErrorMessage="false" showInputMessage="false" sqref="C2:C1000" type="list">
      <formula1>"Lý thuyết,Bài tập"</formula1>
      <formula2>0</formula2>
    </dataValidation>
    <dataValidation allowBlank="true" errorStyle="stop" operator="between" showDropDown="false" showErrorMessage="false" showInputMessage="false" sqref="D2:D1000" type="list">
      <formula1>"Dễ,Trung bình,Khó"</formula1>
      <formula2>0</formula2>
    </dataValidation>
    <dataValidation allowBlank="true" errorStyle="stop" operator="between" showDropDown="false" showErrorMessage="false" showInputMessage="false" sqref="E2:E1000" type="list">
      <formula1>"Chọn 1,Chọn nhiều"</formula1>
      <formula2>0</formula2>
    </dataValidation>
    <dataValidation allowBlank="true" errorStyle="stop" operator="between" showDropDown="false" showErrorMessage="false" showInputMessage="false" sqref="F2:F1000" type="list">
      <formula1>"Chung,Riêng"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95"/>
  </cols>
  <sheetData>
    <row r="1" customFormat="false" ht="15" hidden="false" customHeight="true" outlineLevel="0" collapsed="false">
      <c r="A1" s="6" t="s">
        <v>77</v>
      </c>
      <c r="B1" s="6" t="s">
        <v>78</v>
      </c>
    </row>
    <row r="2" customFormat="false" ht="15" hidden="false" customHeight="true" outlineLevel="0" collapsed="false">
      <c r="A2" s="7" t="s">
        <v>0</v>
      </c>
      <c r="B2" s="7" t="s">
        <v>79</v>
      </c>
    </row>
    <row r="3" customFormat="false" ht="15" hidden="false" customHeight="true" outlineLevel="0" collapsed="false">
      <c r="A3" s="7" t="s">
        <v>1</v>
      </c>
      <c r="B3" s="7" t="s">
        <v>80</v>
      </c>
    </row>
    <row r="4" customFormat="false" ht="15" hidden="false" customHeight="true" outlineLevel="0" collapsed="false">
      <c r="A4" s="7" t="s">
        <v>2</v>
      </c>
      <c r="B4" s="7" t="s">
        <v>81</v>
      </c>
    </row>
    <row r="5" customFormat="false" ht="15" hidden="false" customHeight="true" outlineLevel="0" collapsed="false">
      <c r="A5" s="7" t="s">
        <v>3</v>
      </c>
      <c r="B5" s="7" t="s">
        <v>82</v>
      </c>
    </row>
    <row r="6" customFormat="false" ht="15" hidden="false" customHeight="true" outlineLevel="0" collapsed="false">
      <c r="A6" s="7" t="s">
        <v>4</v>
      </c>
      <c r="B6" s="7" t="s">
        <v>83</v>
      </c>
    </row>
    <row r="7" customFormat="false" ht="15" hidden="false" customHeight="true" outlineLevel="0" collapsed="false">
      <c r="A7" s="7" t="s">
        <v>5</v>
      </c>
      <c r="B7" s="7" t="s">
        <v>84</v>
      </c>
    </row>
    <row r="8" customFormat="false" ht="23.25" hidden="false" customHeight="true" outlineLevel="0" collapsed="false">
      <c r="A8" s="7" t="s">
        <v>6</v>
      </c>
      <c r="B8" s="7" t="s">
        <v>85</v>
      </c>
    </row>
    <row r="9" customFormat="false" ht="15" hidden="false" customHeight="true" outlineLevel="0" collapsed="false">
      <c r="A9" s="7" t="s">
        <v>86</v>
      </c>
      <c r="B9" s="7" t="s">
        <v>87</v>
      </c>
    </row>
    <row r="10" customFormat="false" ht="15" hidden="false" customHeight="true" outlineLevel="0" collapsed="false">
      <c r="A10" s="7" t="s">
        <v>15</v>
      </c>
      <c r="B10" s="7" t="s">
        <v>88</v>
      </c>
    </row>
    <row r="11" customFormat="false" ht="15" hidden="false" customHeight="true" outlineLevel="0" collapsed="false">
      <c r="A11" s="7"/>
      <c r="B11" s="7"/>
    </row>
    <row r="12" customFormat="false" ht="15" hidden="false" customHeight="true" outlineLevel="0" collapsed="false">
      <c r="A12" s="8" t="s">
        <v>89</v>
      </c>
      <c r="B12" s="7"/>
    </row>
    <row r="13" customFormat="false" ht="15" hidden="false" customHeight="true" outlineLevel="0" collapsed="false">
      <c r="A13" s="8" t="s">
        <v>90</v>
      </c>
      <c r="B13" s="7" t="n">
        <f aca="false">COUNTA(CauHoi!B2:B1000)</f>
        <v>10</v>
      </c>
    </row>
    <row r="14" customFormat="false" ht="15" hidden="false" customHeight="true" outlineLevel="0" collapsed="false">
      <c r="A14" s="8" t="s">
        <v>91</v>
      </c>
      <c r="B14" s="7" t="n">
        <f aca="false">COUNTIF(CauHoi!F2:F1000,"Chung")</f>
        <v>10</v>
      </c>
    </row>
    <row r="15" customFormat="false" ht="15" hidden="false" customHeight="true" outlineLevel="0" collapsed="false">
      <c r="A15" s="8" t="s">
        <v>92</v>
      </c>
      <c r="B15" s="7" t="n">
        <f aca="false">COUNTIF(CauHoi!F2:F1000,"Riêng")</f>
        <v>0</v>
      </c>
    </row>
    <row r="16" customFormat="false" ht="15" hidden="false" customHeight="true" outlineLevel="0" collapsed="false">
      <c r="A16" s="8" t="s">
        <v>93</v>
      </c>
      <c r="B16" s="7" t="n">
        <f aca="false">SUMPRODUCT((CauHoi!G2:G1000&lt;&gt;"")/COUNTIF(CauHoi!G2:G1000,CauHoi!G2:G1000&amp;""))</f>
        <v>0</v>
      </c>
    </row>
    <row r="17" customFormat="false" ht="15" hidden="false" customHeight="true" outlineLevel="0" collapsed="false">
      <c r="A17" s="8" t="s">
        <v>94</v>
      </c>
      <c r="B17" s="7" t="n">
        <f aca="false">COUNTIF(CauHoi!D2:D1000,"Dễ")</f>
        <v>5</v>
      </c>
    </row>
    <row r="18" customFormat="false" ht="15" hidden="false" customHeight="true" outlineLevel="0" collapsed="false">
      <c r="A18" s="8" t="s">
        <v>95</v>
      </c>
      <c r="B18" s="7" t="n">
        <f aca="false">COUNTIF(CauHoi!D2:D1000,"Trung bình")</f>
        <v>4</v>
      </c>
    </row>
    <row r="19" customFormat="false" ht="15" hidden="false" customHeight="true" outlineLevel="0" collapsed="false">
      <c r="A19" s="8" t="s">
        <v>96</v>
      </c>
      <c r="B19" s="7" t="n">
        <f aca="false">COUNTIF(CauHoi!D2:D1000,"Khó")</f>
        <v>1</v>
      </c>
    </row>
    <row r="20" customFormat="false" ht="15" hidden="false" customHeight="true" outlineLevel="0" collapsed="false">
      <c r="A20" s="8" t="s">
        <v>97</v>
      </c>
      <c r="B20" s="7" t="n">
        <f aca="false">COUNTIF(CauHoi!E2:E1000,"Chọn nhiều")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2026-09-28T05:55:15Z</dcterms:created>
  <dc:creator>openpyxl</dc:creator>
  <dc:description/>
  <dc:language>en-US</dc:language>
  <cp:lastModifiedBy/>
  <dcterms:modified xsi:type="dcterms:W3CDTF">2026-10-08T05:53:31Z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