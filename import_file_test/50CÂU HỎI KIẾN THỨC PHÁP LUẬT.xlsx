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uHoi" sheetId="1" state="visible" r:id="rId3"/>
    <sheet name="HuongDan" sheetId="2" state="visible" r:id="rId4"/>
  </sheets>
  <definedNames>
    <definedName function="false" hidden="true" localSheetId="0" name="_xlnm._FilterDatabase" vbProcedure="false">CauHoi!$A$1:$P$51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<sst xmlns="http://schemas.openxmlformats.org/spreadsheetml/2006/main" count="595" uniqueCount="286">
  <si>
    <t xml:space="preserve">Chủ đề</t>
  </si>
  <si>
    <t xml:space="preserve">Nội dung</t>
  </si>
  <si>
    <t xml:space="preserve">Loại</t>
  </si>
  <si>
    <t xml:space="preserve">Độ khó</t>
  </si>
  <si>
    <t xml:space="preserve">Đáp án</t>
  </si>
  <si>
    <t xml:space="preserve">Phạm vi</t>
  </si>
  <si>
    <t xml:space="preserve">Bộ phận</t>
  </si>
  <si>
    <t xml:space="preserve">Lựa chọn 1</t>
  </si>
  <si>
    <t xml:space="preserve">Lựa chọn 2</t>
  </si>
  <si>
    <t xml:space="preserve">Lựa chọn 3</t>
  </si>
  <si>
    <t xml:space="preserve">Lựa chọn 4</t>
  </si>
  <si>
    <t xml:space="preserve">Lựa chọn 5</t>
  </si>
  <si>
    <t xml:space="preserve">Lựa chọn 6</t>
  </si>
  <si>
    <t xml:space="preserve">Lựa chọn 7</t>
  </si>
  <si>
    <t xml:space="preserve">Lựa chọn 8</t>
  </si>
  <si>
    <t xml:space="preserve">Đáp án đúng</t>
  </si>
  <si>
    <t xml:space="preserve">Hội thi nghiệp vụ giỏi tháng 10</t>
  </si>
  <si>
    <t xml:space="preserve">Khi tham gia giao thông đường bộ, người điều khiển phương tiện phải đi như thế nào?</t>
  </si>
  <si>
    <t xml:space="preserve">Lý thuyết</t>
  </si>
  <si>
    <t xml:space="preserve">Dễ</t>
  </si>
  <si>
    <t xml:space="preserve">Chọn 1</t>
  </si>
  <si>
    <t xml:space="preserve">Chung</t>
  </si>
  <si>
    <t xml:space="preserve">Đi bên nào thuận tiện.</t>
  </si>
  <si>
    <t xml:space="preserve">Đi bên phải theo chiều đi của mình, đúng làn đường và phần đường.</t>
  </si>
  <si>
    <t xml:space="preserve">Đi giữa đường trong mọi trường hợp.</t>
  </si>
  <si>
    <t xml:space="preserve">Đi theo xe phía trước dù xe đó đi sai làn.</t>
  </si>
  <si>
    <t xml:space="preserve">2</t>
  </si>
  <si>
    <t xml:space="preserve">Trên ô tô có trang bị dây đai an toàn, ai phải thắt dây khi tham gia giao thông?</t>
  </si>
  <si>
    <t xml:space="preserve">Chỉ người lái xe.</t>
  </si>
  <si>
    <t xml:space="preserve">Chỉ người ngồi ghế trước.</t>
  </si>
  <si>
    <t xml:space="preserve">Chỉ người đi đường dài.</t>
  </si>
  <si>
    <t xml:space="preserve">Người lái xe và người được chở tại những chỗ có trang bị dây đai.</t>
  </si>
  <si>
    <t xml:space="preserve">4</t>
  </si>
  <si>
    <t xml:space="preserve">Khi đang lái xe di chuyển trên đường bộ, hành vi nào sau đây bị nghiêm cấm?</t>
  </si>
  <si>
    <t xml:space="preserve">Dùng tay cầm và sử dụng điện thoại.</t>
  </si>
  <si>
    <t xml:space="preserve">Quan sát biển báo.</t>
  </si>
  <si>
    <t xml:space="preserve">Giữ khoảng cách an toàn.</t>
  </si>
  <si>
    <t xml:space="preserve">Giảm tốc độ khi cần thiết.</t>
  </si>
  <si>
    <t xml:space="preserve">1</t>
  </si>
  <si>
    <t xml:space="preserve">Chủ xe có được giao xe cơ giới cho người không đủ điều kiện lái xe tham gia giao thông không?</t>
  </si>
  <si>
    <t xml:space="preserve">Được nếu đi gần.</t>
  </si>
  <si>
    <t xml:space="preserve">Được nếu đường vắng.</t>
  </si>
  <si>
    <t xml:space="preserve">Không được.</t>
  </si>
  <si>
    <t xml:space="preserve">Được nếu chủ xe ngồi cùng.</t>
  </si>
  <si>
    <t xml:space="preserve">3</t>
  </si>
  <si>
    <t xml:space="preserve">Ở đường cong có tầm nhìn bị hạn chế, người lái xe có được vượt xe không?</t>
  </si>
  <si>
    <t xml:space="preserve">Được nếu bấm còi.</t>
  </si>
  <si>
    <t xml:space="preserve">Được nếu xe phía trước đi chậm.</t>
  </si>
  <si>
    <t xml:space="preserve">Được nếu bật đèn chiếu xa.</t>
  </si>
  <si>
    <t xml:space="preserve">Không được vượt.</t>
  </si>
  <si>
    <t xml:space="preserve">Khi gặp người đi bộ qua đường, người lái xe phải sử dụng đèn thế nào?</t>
  </si>
  <si>
    <t xml:space="preserve">Trung bình</t>
  </si>
  <si>
    <t xml:space="preserve">Bật đèn chiếu xa liên tục.</t>
  </si>
  <si>
    <t xml:space="preserve">Tắt đèn chiếu xa, bật đèn chiếu gần.</t>
  </si>
  <si>
    <t xml:space="preserve">Tắt toàn bộ đèn.</t>
  </si>
  <si>
    <t xml:space="preserve">Không cần thay đổi đèn trong mọi trường hợp.</t>
  </si>
  <si>
    <t xml:space="preserve">Theo luật, giấy phép lái xe có bao nhiêu điểm để quản lý việc chấp hành pháp luật giao thông?</t>
  </si>
  <si>
    <t xml:space="preserve">12 điểm.</t>
  </si>
  <si>
    <t xml:space="preserve">08 điểm.</t>
  </si>
  <si>
    <t xml:space="preserve">10 điểm.</t>
  </si>
  <si>
    <t xml:space="preserve">15 điểm.</t>
  </si>
  <si>
    <t xml:space="preserve">Khi giấy phép lái xe bị trừ hết điểm, người có giấy phép phải làm gì?</t>
  </si>
  <si>
    <t xml:space="preserve">Tiếp tục lái nếu đi trong khu dân cư.</t>
  </si>
  <si>
    <t xml:space="preserve">Tiếp tục lái nếu mang theo quyết định xử phạt.</t>
  </si>
  <si>
    <t xml:space="preserve">Không điều khiển phương tiện theo giấy phép đó.</t>
  </si>
  <si>
    <t xml:space="preserve">Chỉ ngừng lái vào ban đêm.</t>
  </si>
  <si>
    <t xml:space="preserve">Trong bữa ăn, việc ép người khác uống rượu, bia được luật quy định thế nào?</t>
  </si>
  <si>
    <t xml:space="preserve">Được phép nếu là bạn bè.</t>
  </si>
  <si>
    <t xml:space="preserve">Là hành vi bị nghiêm cấm.</t>
  </si>
  <si>
    <t xml:space="preserve">Được phép nếu chỉ ép uống một lần.</t>
  </si>
  <si>
    <t xml:space="preserve">Chỉ bị cấm tại nơi làm việc.</t>
  </si>
  <si>
    <t xml:space="preserve">Người chưa đủ 18 tuổi có được uống rượu, bia không?</t>
  </si>
  <si>
    <t xml:space="preserve">Được nếu có cha mẹ đi cùng.</t>
  </si>
  <si>
    <t xml:space="preserve">Được nếu chỉ uống bia.</t>
  </si>
  <si>
    <t xml:space="preserve">Được vào ngày lễ.</t>
  </si>
  <si>
    <t xml:space="preserve">Người lao động uống rượu, bia trong giờ nghỉ giữa giờ làm việc có thuộc hành vi bị nghiêm cấm không?</t>
  </si>
  <si>
    <t xml:space="preserve">Có, thuộc hành vi bị nghiêm cấm.</t>
  </si>
  <si>
    <t xml:space="preserve">Không, vì đang nghỉ.</t>
  </si>
  <si>
    <t xml:space="preserve">Chỉ bị cấm khi uống rượu mạnh.</t>
  </si>
  <si>
    <t xml:space="preserve">Chỉ bị cấm nếu làm việc ngoài trời.</t>
  </si>
  <si>
    <t xml:space="preserve">Khi nghi ngờ người mua rượu, bia chưa đủ tuổi, người bán có quyền làm gì?</t>
  </si>
  <si>
    <t xml:space="preserve">Bán ngay vì không cần xác minh.</t>
  </si>
  <si>
    <t xml:space="preserve">Chỉ hỏi giá sản phẩm người mua muốn.</t>
  </si>
  <si>
    <t xml:space="preserve">Yêu cầu mua số lượng nhiều hơn.</t>
  </si>
  <si>
    <t xml:space="preserve">Yêu cầu xuất trình giấy tờ chứng minh độ tuổi.</t>
  </si>
  <si>
    <t xml:space="preserve">Gia đình cần làm gì với thành viên chưa đủ 18 tuổi về việc sử dụng rượu, bia?</t>
  </si>
  <si>
    <t xml:space="preserve">Tập cho uống từ sớm.</t>
  </si>
  <si>
    <t xml:space="preserve">Giáo dục, giám sát, nhắc nhở không uống rượu, bia.</t>
  </si>
  <si>
    <t xml:space="preserve">Cho uống nếu có người lớn.</t>
  </si>
  <si>
    <t xml:space="preserve">Chỉ ngăn uống rượu, còn bia thì cho phép.</t>
  </si>
  <si>
    <t xml:space="preserve">Theo luật, hành vi nào được coi là sử dụng thuốc lá?</t>
  </si>
  <si>
    <t xml:space="preserve">Chỉ hút thuốc lá điếu.</t>
  </si>
  <si>
    <t xml:space="preserve">Chỉ hút thuốc lào.</t>
  </si>
  <si>
    <t xml:space="preserve">Chỉ mua thuốc lá.</t>
  </si>
  <si>
    <t xml:space="preserve">Hút, nhai, ngửi, hít, ngậm sản phẩm thuốc lá.</t>
  </si>
  <si>
    <t xml:space="preserve">Người chưa đủ 18 tuổi có được sử dụng thuốc lá không?</t>
  </si>
  <si>
    <t xml:space="preserve">Được nếu gia đình đồng ý.</t>
  </si>
  <si>
    <t xml:space="preserve">Được nếu không hút trong lớp học.</t>
  </si>
  <si>
    <t xml:space="preserve">Được nếu tự mua bằng tiền của mình.</t>
  </si>
  <si>
    <t xml:space="preserve">Việc bán, cung cấp thuốc lá cho người chưa đủ 18 tuổi được quy định thế nào?</t>
  </si>
  <si>
    <t xml:space="preserve">Được phép nếu mua ít.</t>
  </si>
  <si>
    <t xml:space="preserve">Được phép nếu mua giúp người lớn.</t>
  </si>
  <si>
    <t xml:space="preserve">Bị nghiêm cấm.</t>
  </si>
  <si>
    <t xml:space="preserve">Chỉ bị cấm vào giờ học.</t>
  </si>
  <si>
    <t xml:space="preserve">Khu vực có nguy cơ cháy, nổ cao được quy định thế nào về hút thuốc lá?</t>
  </si>
  <si>
    <t xml:space="preserve">Được hút nếu đứng xa người khác.</t>
  </si>
  <si>
    <t xml:space="preserve">Được hút trong giờ nghỉ.</t>
  </si>
  <si>
    <t xml:space="preserve">Cấm hút thuốc lá hoàn toàn trong nhà và trong phạm vi khuôn viên.</t>
  </si>
  <si>
    <t xml:space="preserve">Được hút nếu có bình chữa cháy bên cạnh.</t>
  </si>
  <si>
    <t xml:space="preserve">Tại địa điểm được phép hút thuốc, người hút thuốc phải xử lý tàn, mẩu thuốc thế nào?</t>
  </si>
  <si>
    <t xml:space="preserve">Vứt xuống nền nhà.</t>
  </si>
  <si>
    <t xml:space="preserve">Bỏ đúng nơi quy định và giữ vệ sinh chung.</t>
  </si>
  <si>
    <t xml:space="preserve">Bỏ ở bất kỳ chỗ nào thuận tiện.</t>
  </si>
  <si>
    <t xml:space="preserve">Để người khác tự thu gom.</t>
  </si>
  <si>
    <t xml:space="preserve">Bảo vệ an ninh mạng bao gồm những hoạt động nào?</t>
  </si>
  <si>
    <t xml:space="preserve">Chỉ sửa máy tính khi hỏng.</t>
  </si>
  <si>
    <t xml:space="preserve">Chỉ thay mật khẩu.</t>
  </si>
  <si>
    <t xml:space="preserve">Phòng ngừa, phát hiện, ngăn chặn, xử lý hành vi xâm phạm an ninh mạng.</t>
  </si>
  <si>
    <t xml:space="preserve">Chỉ kiểm tra tốc độ Internet.</t>
  </si>
  <si>
    <t xml:space="preserve">Bịa đặt thông tin trên mạng để xúc phạm danh dự người khác được quy định thế nào?</t>
  </si>
  <si>
    <t xml:space="preserve">Được phép nếu không nêu tên thật.</t>
  </si>
  <si>
    <t xml:space="preserve">Được phép trong nhóm kín.</t>
  </si>
  <si>
    <t xml:space="preserve">Được phép nếu đăng vào ngày nghỉ.</t>
  </si>
  <si>
    <t xml:space="preserve">Dùng trí tuệ nhân tạo để giả mạo giọng nói người khác trái quy định pháp luật có được phép không?</t>
  </si>
  <si>
    <t xml:space="preserve">Được nếu chỉ dùng một lần.</t>
  </si>
  <si>
    <t xml:space="preserve">Được nếu người thực hiện không thu tiền.</t>
  </si>
  <si>
    <t xml:space="preserve">Không được, đây là hành vi bị nghiêm cấm.</t>
  </si>
  <si>
    <t xml:space="preserve">Được nếu dùng tài khoản phụ.</t>
  </si>
  <si>
    <t xml:space="preserve">Thu thập và mua bán trái pháp luật dữ liệu cá nhân của người khác được quy định thế nào?</t>
  </si>
  <si>
    <t xml:space="preserve">Được phép nếu dữ liệu có giá trị thấp.</t>
  </si>
  <si>
    <t xml:space="preserve">Được phép trong nhóm bạn bè.</t>
  </si>
  <si>
    <t xml:space="preserve">Được phép nếu người mua ở nước ngoài.</t>
  </si>
  <si>
    <t xml:space="preserve">Tổ chức đánh bạc qua mạng Internet được luật quy định thế nào?</t>
  </si>
  <si>
    <t xml:space="preserve">Được phép nếu nhóm ít người.</t>
  </si>
  <si>
    <t xml:space="preserve">Được phép nếu chỉ tổ chức ban đêm.</t>
  </si>
  <si>
    <t xml:space="preserve">Được phép nếu dùng tài khoản không có tên thật.</t>
  </si>
  <si>
    <t xml:space="preserve">Khi sử dụng tài khoản số của mình, cá nhân có trách nhiệm gì?</t>
  </si>
  <si>
    <t xml:space="preserve">Công khai mật khẩu cho mọi người.</t>
  </si>
  <si>
    <t xml:space="preserve">Bảo mật thông tin đăng ký, mở, quản lý, sử dụng tài khoản.</t>
  </si>
  <si>
    <t xml:space="preserve">Cho người lạ sử dụng không cần kiểm soát.</t>
  </si>
  <si>
    <t xml:space="preserve">Không cần bảo mật nếu ít sử dụng.</t>
  </si>
  <si>
    <t xml:space="preserve">Khi có thông tin về nguy cơ đe dọa an ninh mạng, người sử dụng cần làm gì?</t>
  </si>
  <si>
    <t xml:space="preserve">Giữ lại và không báo cho ai.</t>
  </si>
  <si>
    <t xml:space="preserve">Chỉ chia sẻ trong nhóm bạn.</t>
  </si>
  <si>
    <t xml:space="preserve">Đợi đến khi xảy ra thiệt hại mới báo.</t>
  </si>
  <si>
    <t xml:space="preserve">Kịp thời cung cấp thông tin cho cơ quan có thẩm quyền, lực lượng bảo vệ an ninh mạng.</t>
  </si>
  <si>
    <t xml:space="preserve">Khi trẻ em sử dụng dịch vụ giá trị gia tăng trên không gian mạng, cha mẹ hoặc người giám hộ có trách nhiệm gì?</t>
  </si>
  <si>
    <t xml:space="preserve">Chỉ mua thiết bị cho trẻ.</t>
  </si>
  <si>
    <t xml:space="preserve">Để trẻ tự quản lý mọi nội dung.</t>
  </si>
  <si>
    <t xml:space="preserve">Giám sát, quản lý nội dung trẻ truy cập, đăng tải và chia sẻ.</t>
  </si>
  <si>
    <t xml:space="preserve">Chỉ kiểm tra khi trẻ yêu cầu.</t>
  </si>
  <si>
    <t xml:space="preserve">Khi sử dụng không gian mạng, cơ quan, tổ chức, cá nhân phải ứng xử thế nào với hướng dẫn của cơ quan có thẩm quyền về bảo vệ an ninh mạng?</t>
  </si>
  <si>
    <t xml:space="preserve">Thực hiện yêu cầu và hướng dẫn.</t>
  </si>
  <si>
    <t xml:space="preserve">Chỉ thực hiện khi thấy thuận tiện.</t>
  </si>
  <si>
    <t xml:space="preserve">Không cần thực hiện nếu sử dụng tài khoản cá nhân.</t>
  </si>
  <si>
    <t xml:space="preserve">Chỉ thực hiện đối với mạng tại nơi làm việc.</t>
  </si>
  <si>
    <t xml:space="preserve">Theo luật, hướng xây dựng và phát triển công nghiệp quốc phòng, an ninh nào sau đây là đúng?</t>
  </si>
  <si>
    <t xml:space="preserve">Khó</t>
  </si>
  <si>
    <t xml:space="preserve">Chỉ dựa vào nguồn lực nước ngoài.</t>
  </si>
  <si>
    <t xml:space="preserve">Chỉ sản xuất sản phẩm dân sinh.</t>
  </si>
  <si>
    <t xml:space="preserve">Tự lực, tự cường, lưỡng dụng, hiện đại, chủ động hội nhập quốc tế.</t>
  </si>
  <si>
    <t xml:space="preserve">Tách hoàn toàn khỏi phát triển kinh tế, xã hội.</t>
  </si>
  <si>
    <t xml:space="preserve">Quản lý hoạt động sản xuất quốc phòng, an ninh có bao gồm nghiệm thu, bàn giao sản phẩm không?</t>
  </si>
  <si>
    <t xml:space="preserve">Không, chỉ cần tổ chức sản xuất.</t>
  </si>
  <si>
    <t xml:space="preserve">Chỉ bao gồm khi xuất khẩu.</t>
  </si>
  <si>
    <t xml:space="preserve">Chỉ bao gồm đối với sản phẩm dân sinh.</t>
  </si>
  <si>
    <t xml:space="preserve">Có, đây là một nội dung quản lý.</t>
  </si>
  <si>
    <t xml:space="preserve">Hình thức nào sau đây thuộc nội dung quản lý hoạt động sản xuất quốc phòng, an ninh?</t>
  </si>
  <si>
    <t xml:space="preserve">Chỉ thỏa thuận miệng.</t>
  </si>
  <si>
    <t xml:space="preserve">Giao nhiệm vụ, đặt hàng, đấu thầu.</t>
  </si>
  <si>
    <t xml:space="preserve">Chỉ trao đổi qua người quen.</t>
  </si>
  <si>
    <t xml:space="preserve">Chỉ tự sản xuất mà không có kế hoạch.</t>
  </si>
  <si>
    <t xml:space="preserve">Quỹ công nghiệp quốc phòng hoạt động theo nguyên tắc nào?</t>
  </si>
  <si>
    <t xml:space="preserve">Tối đa hóa lợi nhuận để chia cho cá nhân.</t>
  </si>
  <si>
    <t xml:space="preserve">Không vì mục đích lợi nhuận.</t>
  </si>
  <si>
    <t xml:space="preserve">Chỉ cho vay tiêu dùng cá nhân.</t>
  </si>
  <si>
    <t xml:space="preserve">Chỉ hỗ trợ hoạt động giải trí.</t>
  </si>
  <si>
    <t xml:space="preserve">Quỹ công nghiệp quốc phòng do cơ quan nào quản lý theo luật?</t>
  </si>
  <si>
    <t xml:space="preserve">Một doanh nghiệp tư nhân.</t>
  </si>
  <si>
    <t xml:space="preserve">Một hiệp hội doanh nghiệp.</t>
  </si>
  <si>
    <t xml:space="preserve">Ủy ban nhân dân cấp xã.</t>
  </si>
  <si>
    <t xml:space="preserve">Chính phủ.</t>
  </si>
  <si>
    <t xml:space="preserve">Cơ sở huy động có thể tham gia cung ứng, dự trữ, bảo quản vật tư sản xuất quốc phòng, an ninh không?</t>
  </si>
  <si>
    <t xml:space="preserve">Có, đây là một lĩnh vực được luật quy định.</t>
  </si>
  <si>
    <t xml:space="preserve">Không, mọi cơ sở huy động đều bị cấm.</t>
  </si>
  <si>
    <t xml:space="preserve">Chỉ được cung ứng văn phòng phẩm.</t>
  </si>
  <si>
    <t xml:space="preserve">Chỉ được tham gia quảng cáo.</t>
  </si>
  <si>
    <t xml:space="preserve">Khi tham gia sản xuất sản phẩm phục vụ dân sinh, cơ sở công nghiệp quốc phòng nòng cốt phải bảo đảm điều gì?</t>
  </si>
  <si>
    <t xml:space="preserve">Công khai mọi tài liệu bí mật.</t>
  </si>
  <si>
    <t xml:space="preserve">Chỉ bảo đảm tiến độ, không cần bảo đảm an toàn.</t>
  </si>
  <si>
    <t xml:space="preserve">An toàn và bí mật nhà nước.</t>
  </si>
  <si>
    <t xml:space="preserve">Không cần tuân thủ yêu cầu bảo mật.</t>
  </si>
  <si>
    <t xml:space="preserve">Theo luật, loại hình nào sau đây thuộc cơ sở công nghiệp quốc phòng nòng cốt?</t>
  </si>
  <si>
    <t xml:space="preserve">Hộ kinh doanh gia đình.</t>
  </si>
  <si>
    <t xml:space="preserve">Doanh nghiệp tư nhân bất kỳ.</t>
  </si>
  <si>
    <t xml:space="preserve">Công ty trách nhiệm hữu hạn một thành viên.</t>
  </si>
  <si>
    <t xml:space="preserve">Cửa hàng bán lẻ bất kỳ.</t>
  </si>
  <si>
    <t xml:space="preserve">Theo luật, người lao động trong cơ sở công nghiệp quốc phòng nòng cốt là doanh nghiệp có được hưởng chế độ, chính sách theo pháp luật về việc làm, bảo hiểm không?</t>
  </si>
  <si>
    <t xml:space="preserve">Không được hưởng.</t>
  </si>
  <si>
    <t xml:space="preserve">Chỉ được hưởng nếu không tham gia sản xuất quốc phòng.</t>
  </si>
  <si>
    <t xml:space="preserve">Chỉ được hưởng khi doanh nghiệp không có doanh thu.</t>
  </si>
  <si>
    <t xml:space="preserve">Có, được hưởng theo quy định của pháp luật.</t>
  </si>
  <si>
    <t xml:space="preserve">Lăng mạ, chì chiết để xúc phạm danh dự, nhân phẩm thành viên gia đình được xác định thế nào?</t>
  </si>
  <si>
    <t xml:space="preserve">Là hành vi bạo lực gia đình.</t>
  </si>
  <si>
    <t xml:space="preserve">Chỉ là bạo lực khi có đánh đập kèm theo.</t>
  </si>
  <si>
    <t xml:space="preserve">Được phép nếu người nói lớn tuổi hơn.</t>
  </si>
  <si>
    <t xml:space="preserve">Không thuộc hành vi bạo lực gia đình.</t>
  </si>
  <si>
    <t xml:space="preserve">Ngăn cản thành viên gia đình gặp người thân nhằm cô lập, gây áp lực thường xuyên về tâm lý được xác định thế nào?</t>
  </si>
  <si>
    <t xml:space="preserve">Là cách quản lý gia đình được phép.</t>
  </si>
  <si>
    <t xml:space="preserve">Chỉ bị cấm nếu có thiệt hại tài sản.</t>
  </si>
  <si>
    <t xml:space="preserve">Được phép nếu xảy ra trong nhà.</t>
  </si>
  <si>
    <t xml:space="preserve">Phát tán bí mật đời sống riêng tư của thành viên gia đình nhằm xúc phạm danh dự, nhân phẩm được xác định thế nào?</t>
  </si>
  <si>
    <t xml:space="preserve">Được phép nếu đăng trong nhóm gia đình.</t>
  </si>
  <si>
    <t xml:space="preserve">Được phép nếu không thu lợi.</t>
  </si>
  <si>
    <t xml:space="preserve">Chỉ bị cấm khi đăng trên báo giấy.</t>
  </si>
  <si>
    <t xml:space="preserve">Kiểm soát thu nhập của thành viên gia đình nhằm làm họ lệ thuộc về vật chất, tinh thần được xác định thế nào?</t>
  </si>
  <si>
    <t xml:space="preserve">Luôn là quyền của người có thu nhập cao nhất.</t>
  </si>
  <si>
    <t xml:space="preserve">Chỉ bị cấm đối với người chưa kết hôn.</t>
  </si>
  <si>
    <t xml:space="preserve">Không thuộc phạm vi luật này.</t>
  </si>
  <si>
    <t xml:space="preserve">Đe dọa trả thù người báo tin về bạo lực gia đình được quy định thế nào?</t>
  </si>
  <si>
    <t xml:space="preserve">Được phép nếu người báo tin là hàng xóm.</t>
  </si>
  <si>
    <t xml:space="preserve">Được phép nếu chưa gây thương tích.</t>
  </si>
  <si>
    <t xml:space="preserve">Chỉ bị cấm khi có nhiều người chứng kiến.</t>
  </si>
  <si>
    <t xml:space="preserve">Người bị bạo lực gia đình có quyền yêu cầu cơ quan có thẩm quyền bảo vệ sức khỏe, tính mạng không?</t>
  </si>
  <si>
    <t xml:space="preserve">Chỉ được yêu cầu khi có người thân đồng ý.</t>
  </si>
  <si>
    <t xml:space="preserve">Chỉ được yêu cầu khi đã ly hôn.</t>
  </si>
  <si>
    <t xml:space="preserve">Không được yêu cầu vì là chuyện gia đình.</t>
  </si>
  <si>
    <t xml:space="preserve">Có quyền yêu cầu.</t>
  </si>
  <si>
    <t xml:space="preserve">Khi phát hiện bạo lực gia đình, địa chỉ nào sau đây có thể tiếp nhận tin báo, tố giác?</t>
  </si>
  <si>
    <t xml:space="preserve">Chỉ cửa hàng gần nhà.</t>
  </si>
  <si>
    <t xml:space="preserve">Chỉ nhóm trò chuyện bạn bè.</t>
  </si>
  <si>
    <t xml:space="preserve">Cơ quan Công an gần nơi xảy ra hành vi.</t>
  </si>
  <si>
    <t xml:space="preserve">Chỉ người có hành vi bạo lực.</t>
  </si>
  <si>
    <t xml:space="preserve">Việc báo tin, tố giác hành vi bạo lực gia đình có thể thực hiện bằng hình thức nào?</t>
  </si>
  <si>
    <t xml:space="preserve">Gọi điện, nhắn tin, gửi đơn, thư hoặc trực tiếp báo tin.</t>
  </si>
  <si>
    <t xml:space="preserve">Chỉ được nộp đơn giấy.</t>
  </si>
  <si>
    <t xml:space="preserve">Chỉ được báo trực tiếp.</t>
  </si>
  <si>
    <t xml:space="preserve">Chỉ được báo qua người thân.</t>
  </si>
  <si>
    <t xml:space="preserve">Hòa giải trong phòng, chống bạo lực gia đình có thay thế biện pháp xử lý người có hành vi bạo lực không?</t>
  </si>
  <si>
    <t xml:space="preserve">Luôn thay thế mọi biện pháp xử lý.</t>
  </si>
  <si>
    <t xml:space="preserve">Thay thế nếu người vi phạm xin lỗi.</t>
  </si>
  <si>
    <t xml:space="preserve">Không thay thế biện pháp xử lý.</t>
  </si>
  <si>
    <t xml:space="preserve">Thay thế nếu các bên là vợ chồng.</t>
  </si>
  <si>
    <t xml:space="preserve">Theo luật, chất ma túy là gì?</t>
  </si>
  <si>
    <t xml:space="preserve">Mọi loại thuốc chữa bệnh.</t>
  </si>
  <si>
    <t xml:space="preserve">Mọi loại đồ uống có cồn.</t>
  </si>
  <si>
    <t xml:space="preserve">Mọi hóa chất dùng trong sản xuất.</t>
  </si>
  <si>
    <t xml:space="preserve">Chất gây nghiện, chất hướng thần trong danh mục do Chính phủ ban hành.</t>
  </si>
  <si>
    <t xml:space="preserve">Rủ rê, lôi kéo người khác sử dụng trái phép chất ma túy được quy định thế nào?</t>
  </si>
  <si>
    <t xml:space="preserve">Được phép nếu không bán ma túy.</t>
  </si>
  <si>
    <t xml:space="preserve">Được phép nếu chỉ rủ một lần.</t>
  </si>
  <si>
    <t xml:space="preserve">Kỳ thị người cai nghiện ma túy hoặc người sau cai nghiện được quy định thế nào?</t>
  </si>
  <si>
    <t xml:space="preserve">Được khuyến khích để họ tránh cộng đồng.</t>
  </si>
  <si>
    <t xml:space="preserve">Được phép tại nơi làm việc.</t>
  </si>
  <si>
    <t xml:space="preserve">Chỉ bị cấm với người chưa đủ 18 tuổi.</t>
  </si>
  <si>
    <t xml:space="preserve">Khi có thông tin về tội phạm ma túy, cá nhân cần làm gì?</t>
  </si>
  <si>
    <t xml:space="preserve">Cung cấp kịp thời cho cơ quan công an hoặc cơ quan nhà nước có thẩm quyền.</t>
  </si>
  <si>
    <t xml:space="preserve">Giữ kín và không báo.</t>
  </si>
  <si>
    <t xml:space="preserve">Chỉ kể cho bạn bè.</t>
  </si>
  <si>
    <t xml:space="preserve">Đợi đến khi có nhiều người biết mới báo.</t>
  </si>
  <si>
    <t xml:space="preserve">Gia đình và cộng đồng cần ứng xử thế nào với người sau cai nghiện ma túy?</t>
  </si>
  <si>
    <t xml:space="preserve">Theo dõi, giúp đỡ hòa nhập cộng đồng, phòng chống tái nghiện.</t>
  </si>
  <si>
    <t xml:space="preserve">Xa lánh trong mọi trường hợp.</t>
  </si>
  <si>
    <t xml:space="preserve">Công khai mọi thông tin riêng tư để gây áp lực.</t>
  </si>
  <si>
    <t xml:space="preserve">Ngăn tham gia các hoạt động cộng đồng hợp pháp.</t>
  </si>
  <si>
    <t xml:space="preserve">Cột</t>
  </si>
  <si>
    <t xml:space="preserve">Giải thích</t>
  </si>
  <si>
    <t xml:space="preserve">Toàn bộ file dùng chung 1 chủ đề: "Hội thi nghiệp vụ giỏi tháng 10".</t>
  </si>
  <si>
    <t xml:space="preserve">Nội dung câu hỏi.</t>
  </si>
  <si>
    <t xml:space="preserve">Lý thuyết hoặc Bài tập.</t>
  </si>
  <si>
    <t xml:space="preserve">Dễ / Trung bình / Khó.</t>
  </si>
  <si>
    <t xml:space="preserve">Chọn 1 (single) hoặc Chọn nhiều (multiple).</t>
  </si>
  <si>
    <t xml:space="preserve">Chung (mọi bộ phận) hoặc Riêng (thuộc 1 bộ phận cụ thể).</t>
  </si>
  <si>
    <t xml:space="preserve">Bắt buộc nếu Phạm vi = Riêng. Phải là tên bộ phận ĐÃ TỒN TẠI trong hệ thống (đúng chính tả, kể cả chữ hoa/thường).</t>
  </si>
  <si>
    <t xml:space="preserve">Lựa chọn 1-8</t>
  </si>
  <si>
    <t xml:space="preserve">Nội dung các phương án trả lời.</t>
  </si>
  <si>
    <t xml:space="preserve">Số thứ tự phương án đúng, cách nhau dấu , hoặc ; (vd: 2 hoặc 1,3).</t>
  </si>
  <si>
    <t xml:space="preserve">Thống kê file này</t>
  </si>
  <si>
    <t xml:space="preserve">Tổng số câu</t>
  </si>
  <si>
    <t xml:space="preserve">Câu Chung</t>
  </si>
  <si>
    <t xml:space="preserve">Câu Riêng</t>
  </si>
  <si>
    <t xml:space="preserve">Số bộ phận có câu Riêng</t>
  </si>
  <si>
    <t xml:space="preserve">Câu Dễ</t>
  </si>
  <si>
    <t xml:space="preserve">Câu Trung bình</t>
  </si>
  <si>
    <t xml:space="preserve">Câu Khó</t>
  </si>
  <si>
    <t xml:space="preserve">Câu Chọn nhiều</t>
  </si>
</sst>
</file>

<file path=xl/styles.xml><?xml version="1.0" encoding="utf-8"?>
<styleSheet xmlns="http://schemas.openxmlformats.org/spreadsheetml/2006/main">
  <numFmts count="2">
    <numFmt numFmtId="164" formatCode="General"/>
    <numFmt numFmtId="165" formatCode="@"/>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s>
  <fills count="3">
    <fill>
      <patternFill patternType="none"/>
    </fill>
    <fill>
      <patternFill patternType="gray125"/>
    </fill>
    <fill>
      <patternFill patternType="solid">
        <fgColor rgb="FF1F4E79"/>
        <bgColor rgb="FF003366"/>
      </patternFill>
    </fill>
  </fills>
  <borders count="2">
    <border diagonalUp="false" diagonalDown="false">
      <left/>
      <right/>
      <top/>
      <bottom/>
      <diagonal/>
    </border>
    <border diagonalUp="false" diagonalDown="false">
      <left style="thin">
        <color rgb="FFBFC9D6"/>
      </left>
      <right style="thin">
        <color rgb="FFBFC9D6"/>
      </right>
      <top style="thin">
        <color rgb="FFBFC9D6"/>
      </top>
      <bottom style="thin">
        <color rgb="FFBFC9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5" fontId="5" fillId="0" borderId="1" xfId="0" applyFont="true" applyBorder="true" applyAlignment="true" applyProtection="false">
      <alignment horizontal="center" vertical="top" textRotation="0" wrapText="tru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4E79"/>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C9D6"/>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58"/>
    <col collapsed="false" customWidth="true" hidden="false" outlineLevel="0" max="3" min="3" style="1" width="11"/>
    <col collapsed="false" customWidth="true" hidden="false" outlineLevel="0" max="5" min="4" style="1" width="12"/>
    <col collapsed="false" customWidth="true" hidden="false" outlineLevel="0" max="6" min="6" style="1" width="9"/>
    <col collapsed="false" customWidth="true" hidden="false" outlineLevel="0" max="7" min="7" style="1" width="22"/>
    <col collapsed="false" customWidth="true" hidden="false" outlineLevel="0" max="15" min="8" style="1" width="34"/>
    <col collapsed="false" customWidth="true" hidden="false" outlineLevel="0" max="16" min="16" style="1" width="12"/>
  </cols>
  <sheetData>
    <row r="1" customFormat="false" ht="24"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customFormat="false" ht="23.25" hidden="false" customHeight="true" outlineLevel="0" collapsed="false">
      <c r="A2" s="3" t="s">
        <v>16</v>
      </c>
      <c r="B2" s="3" t="s">
        <v>17</v>
      </c>
      <c r="C2" s="4" t="s">
        <v>18</v>
      </c>
      <c r="D2" s="4" t="s">
        <v>19</v>
      </c>
      <c r="E2" s="4" t="s">
        <v>20</v>
      </c>
      <c r="F2" s="4" t="s">
        <v>21</v>
      </c>
      <c r="G2" s="3"/>
      <c r="H2" s="3" t="s">
        <v>22</v>
      </c>
      <c r="I2" s="3" t="s">
        <v>23</v>
      </c>
      <c r="J2" s="3" t="s">
        <v>24</v>
      </c>
      <c r="K2" s="3" t="s">
        <v>25</v>
      </c>
      <c r="L2" s="3"/>
      <c r="M2" s="3"/>
      <c r="N2" s="3"/>
      <c r="O2" s="3"/>
      <c r="P2" s="5" t="s">
        <v>26</v>
      </c>
    </row>
    <row r="3" customFormat="false" ht="23.25" hidden="false" customHeight="true" outlineLevel="0" collapsed="false">
      <c r="A3" s="3" t="s">
        <v>16</v>
      </c>
      <c r="B3" s="3" t="s">
        <v>27</v>
      </c>
      <c r="C3" s="4" t="s">
        <v>18</v>
      </c>
      <c r="D3" s="4" t="s">
        <v>19</v>
      </c>
      <c r="E3" s="4" t="s">
        <v>20</v>
      </c>
      <c r="F3" s="4" t="s">
        <v>21</v>
      </c>
      <c r="G3" s="3"/>
      <c r="H3" s="3" t="s">
        <v>28</v>
      </c>
      <c r="I3" s="3" t="s">
        <v>29</v>
      </c>
      <c r="J3" s="3" t="s">
        <v>30</v>
      </c>
      <c r="K3" s="3" t="s">
        <v>31</v>
      </c>
      <c r="L3" s="3"/>
      <c r="M3" s="3"/>
      <c r="N3" s="3"/>
      <c r="O3" s="3"/>
      <c r="P3" s="5" t="s">
        <v>32</v>
      </c>
    </row>
    <row r="4" customFormat="false" ht="23.25" hidden="false" customHeight="true" outlineLevel="0" collapsed="false">
      <c r="A4" s="3" t="s">
        <v>16</v>
      </c>
      <c r="B4" s="3" t="s">
        <v>33</v>
      </c>
      <c r="C4" s="4" t="s">
        <v>18</v>
      </c>
      <c r="D4" s="4" t="s">
        <v>19</v>
      </c>
      <c r="E4" s="4" t="s">
        <v>20</v>
      </c>
      <c r="F4" s="4" t="s">
        <v>21</v>
      </c>
      <c r="G4" s="3"/>
      <c r="H4" s="3" t="s">
        <v>34</v>
      </c>
      <c r="I4" s="3" t="s">
        <v>35</v>
      </c>
      <c r="J4" s="3" t="s">
        <v>36</v>
      </c>
      <c r="K4" s="3" t="s">
        <v>37</v>
      </c>
      <c r="L4" s="3"/>
      <c r="M4" s="3"/>
      <c r="N4" s="3"/>
      <c r="O4" s="3"/>
      <c r="P4" s="5" t="s">
        <v>38</v>
      </c>
    </row>
    <row r="5" customFormat="false" ht="23.25" hidden="false" customHeight="true" outlineLevel="0" collapsed="false">
      <c r="A5" s="3" t="s">
        <v>16</v>
      </c>
      <c r="B5" s="3" t="s">
        <v>39</v>
      </c>
      <c r="C5" s="4" t="s">
        <v>18</v>
      </c>
      <c r="D5" s="4" t="s">
        <v>19</v>
      </c>
      <c r="E5" s="4" t="s">
        <v>20</v>
      </c>
      <c r="F5" s="4" t="s">
        <v>21</v>
      </c>
      <c r="G5" s="3"/>
      <c r="H5" s="3" t="s">
        <v>40</v>
      </c>
      <c r="I5" s="3" t="s">
        <v>41</v>
      </c>
      <c r="J5" s="3" t="s">
        <v>42</v>
      </c>
      <c r="K5" s="3" t="s">
        <v>43</v>
      </c>
      <c r="L5" s="3"/>
      <c r="M5" s="3"/>
      <c r="N5" s="3"/>
      <c r="O5" s="3"/>
      <c r="P5" s="5" t="s">
        <v>44</v>
      </c>
    </row>
    <row r="6" customFormat="false" ht="23.25" hidden="false" customHeight="true" outlineLevel="0" collapsed="false">
      <c r="A6" s="3" t="s">
        <v>16</v>
      </c>
      <c r="B6" s="3" t="s">
        <v>45</v>
      </c>
      <c r="C6" s="4" t="s">
        <v>18</v>
      </c>
      <c r="D6" s="4" t="s">
        <v>19</v>
      </c>
      <c r="E6" s="4" t="s">
        <v>20</v>
      </c>
      <c r="F6" s="4" t="s">
        <v>21</v>
      </c>
      <c r="G6" s="3"/>
      <c r="H6" s="3" t="s">
        <v>46</v>
      </c>
      <c r="I6" s="3" t="s">
        <v>47</v>
      </c>
      <c r="J6" s="3" t="s">
        <v>48</v>
      </c>
      <c r="K6" s="3" t="s">
        <v>49</v>
      </c>
      <c r="L6" s="3"/>
      <c r="M6" s="3"/>
      <c r="N6" s="3"/>
      <c r="O6" s="3"/>
      <c r="P6" s="5" t="s">
        <v>32</v>
      </c>
    </row>
    <row r="7" customFormat="false" ht="23.25" hidden="false" customHeight="true" outlineLevel="0" collapsed="false">
      <c r="A7" s="3" t="s">
        <v>16</v>
      </c>
      <c r="B7" s="3" t="s">
        <v>50</v>
      </c>
      <c r="C7" s="4" t="s">
        <v>18</v>
      </c>
      <c r="D7" s="4" t="s">
        <v>51</v>
      </c>
      <c r="E7" s="4" t="s">
        <v>20</v>
      </c>
      <c r="F7" s="4" t="s">
        <v>21</v>
      </c>
      <c r="G7" s="3"/>
      <c r="H7" s="3" t="s">
        <v>52</v>
      </c>
      <c r="I7" s="3" t="s">
        <v>53</v>
      </c>
      <c r="J7" s="3" t="s">
        <v>54</v>
      </c>
      <c r="K7" s="3" t="s">
        <v>55</v>
      </c>
      <c r="L7" s="3"/>
      <c r="M7" s="3"/>
      <c r="N7" s="3"/>
      <c r="O7" s="3"/>
      <c r="P7" s="5" t="s">
        <v>26</v>
      </c>
    </row>
    <row r="8" customFormat="false" ht="23.25" hidden="false" customHeight="true" outlineLevel="0" collapsed="false">
      <c r="A8" s="3" t="s">
        <v>16</v>
      </c>
      <c r="B8" s="3" t="s">
        <v>56</v>
      </c>
      <c r="C8" s="4" t="s">
        <v>18</v>
      </c>
      <c r="D8" s="4" t="s">
        <v>51</v>
      </c>
      <c r="E8" s="4" t="s">
        <v>20</v>
      </c>
      <c r="F8" s="4" t="s">
        <v>21</v>
      </c>
      <c r="G8" s="3"/>
      <c r="H8" s="3" t="s">
        <v>57</v>
      </c>
      <c r="I8" s="3" t="s">
        <v>58</v>
      </c>
      <c r="J8" s="3" t="s">
        <v>59</v>
      </c>
      <c r="K8" s="3" t="s">
        <v>60</v>
      </c>
      <c r="L8" s="3"/>
      <c r="M8" s="3"/>
      <c r="N8" s="3"/>
      <c r="O8" s="3"/>
      <c r="P8" s="5" t="s">
        <v>38</v>
      </c>
    </row>
    <row r="9" customFormat="false" ht="23.25" hidden="false" customHeight="true" outlineLevel="0" collapsed="false">
      <c r="A9" s="3" t="s">
        <v>16</v>
      </c>
      <c r="B9" s="3" t="s">
        <v>61</v>
      </c>
      <c r="C9" s="4" t="s">
        <v>18</v>
      </c>
      <c r="D9" s="4" t="s">
        <v>51</v>
      </c>
      <c r="E9" s="4" t="s">
        <v>20</v>
      </c>
      <c r="F9" s="4" t="s">
        <v>21</v>
      </c>
      <c r="G9" s="3"/>
      <c r="H9" s="3" t="s">
        <v>62</v>
      </c>
      <c r="I9" s="3" t="s">
        <v>63</v>
      </c>
      <c r="J9" s="3" t="s">
        <v>64</v>
      </c>
      <c r="K9" s="3" t="s">
        <v>65</v>
      </c>
      <c r="L9" s="3"/>
      <c r="M9" s="3"/>
      <c r="N9" s="3"/>
      <c r="O9" s="3"/>
      <c r="P9" s="5" t="s">
        <v>44</v>
      </c>
    </row>
    <row r="10" customFormat="false" ht="23.25" hidden="false" customHeight="true" outlineLevel="0" collapsed="false">
      <c r="A10" s="3" t="s">
        <v>16</v>
      </c>
      <c r="B10" s="3" t="s">
        <v>66</v>
      </c>
      <c r="C10" s="4" t="s">
        <v>18</v>
      </c>
      <c r="D10" s="4" t="s">
        <v>19</v>
      </c>
      <c r="E10" s="4" t="s">
        <v>20</v>
      </c>
      <c r="F10" s="4" t="s">
        <v>21</v>
      </c>
      <c r="G10" s="3"/>
      <c r="H10" s="3" t="s">
        <v>67</v>
      </c>
      <c r="I10" s="3" t="s">
        <v>68</v>
      </c>
      <c r="J10" s="3" t="s">
        <v>69</v>
      </c>
      <c r="K10" s="3" t="s">
        <v>70</v>
      </c>
      <c r="L10" s="3"/>
      <c r="M10" s="3"/>
      <c r="N10" s="3"/>
      <c r="O10" s="3"/>
      <c r="P10" s="5" t="s">
        <v>26</v>
      </c>
    </row>
    <row r="11" customFormat="false" ht="15" hidden="false" customHeight="true" outlineLevel="0" collapsed="false">
      <c r="A11" s="3" t="s">
        <v>16</v>
      </c>
      <c r="B11" s="3" t="s">
        <v>71</v>
      </c>
      <c r="C11" s="4" t="s">
        <v>18</v>
      </c>
      <c r="D11" s="4" t="s">
        <v>19</v>
      </c>
      <c r="E11" s="4" t="s">
        <v>20</v>
      </c>
      <c r="F11" s="4" t="s">
        <v>21</v>
      </c>
      <c r="G11" s="3"/>
      <c r="H11" s="3" t="s">
        <v>72</v>
      </c>
      <c r="I11" s="3" t="s">
        <v>42</v>
      </c>
      <c r="J11" s="3" t="s">
        <v>73</v>
      </c>
      <c r="K11" s="3" t="s">
        <v>74</v>
      </c>
      <c r="L11" s="3"/>
      <c r="M11" s="3"/>
      <c r="N11" s="3"/>
      <c r="O11" s="3"/>
      <c r="P11" s="5" t="s">
        <v>26</v>
      </c>
    </row>
    <row r="12" customFormat="false" ht="23.25" hidden="false" customHeight="true" outlineLevel="0" collapsed="false">
      <c r="A12" s="3" t="s">
        <v>16</v>
      </c>
      <c r="B12" s="3" t="s">
        <v>75</v>
      </c>
      <c r="C12" s="4" t="s">
        <v>18</v>
      </c>
      <c r="D12" s="4" t="s">
        <v>51</v>
      </c>
      <c r="E12" s="4" t="s">
        <v>20</v>
      </c>
      <c r="F12" s="4" t="s">
        <v>21</v>
      </c>
      <c r="G12" s="3"/>
      <c r="H12" s="3" t="s">
        <v>76</v>
      </c>
      <c r="I12" s="3" t="s">
        <v>77</v>
      </c>
      <c r="J12" s="3" t="s">
        <v>78</v>
      </c>
      <c r="K12" s="3" t="s">
        <v>79</v>
      </c>
      <c r="L12" s="3"/>
      <c r="M12" s="3"/>
      <c r="N12" s="3"/>
      <c r="O12" s="3"/>
      <c r="P12" s="5" t="s">
        <v>38</v>
      </c>
    </row>
    <row r="13" customFormat="false" ht="23.25" hidden="false" customHeight="true" outlineLevel="0" collapsed="false">
      <c r="A13" s="3" t="s">
        <v>16</v>
      </c>
      <c r="B13" s="3" t="s">
        <v>80</v>
      </c>
      <c r="C13" s="4" t="s">
        <v>18</v>
      </c>
      <c r="D13" s="4" t="s">
        <v>51</v>
      </c>
      <c r="E13" s="4" t="s">
        <v>20</v>
      </c>
      <c r="F13" s="4" t="s">
        <v>21</v>
      </c>
      <c r="G13" s="3"/>
      <c r="H13" s="3" t="s">
        <v>81</v>
      </c>
      <c r="I13" s="3" t="s">
        <v>82</v>
      </c>
      <c r="J13" s="3" t="s">
        <v>83</v>
      </c>
      <c r="K13" s="3" t="s">
        <v>84</v>
      </c>
      <c r="L13" s="3"/>
      <c r="M13" s="3"/>
      <c r="N13" s="3"/>
      <c r="O13" s="3"/>
      <c r="P13" s="5" t="s">
        <v>32</v>
      </c>
    </row>
    <row r="14" customFormat="false" ht="23.25" hidden="false" customHeight="true" outlineLevel="0" collapsed="false">
      <c r="A14" s="3" t="s">
        <v>16</v>
      </c>
      <c r="B14" s="3" t="s">
        <v>85</v>
      </c>
      <c r="C14" s="4" t="s">
        <v>18</v>
      </c>
      <c r="D14" s="4" t="s">
        <v>19</v>
      </c>
      <c r="E14" s="4" t="s">
        <v>20</v>
      </c>
      <c r="F14" s="4" t="s">
        <v>21</v>
      </c>
      <c r="G14" s="3"/>
      <c r="H14" s="3" t="s">
        <v>86</v>
      </c>
      <c r="I14" s="3" t="s">
        <v>87</v>
      </c>
      <c r="J14" s="3" t="s">
        <v>88</v>
      </c>
      <c r="K14" s="3" t="s">
        <v>89</v>
      </c>
      <c r="L14" s="3"/>
      <c r="M14" s="3"/>
      <c r="N14" s="3"/>
      <c r="O14" s="3"/>
      <c r="P14" s="5" t="s">
        <v>26</v>
      </c>
    </row>
    <row r="15" customFormat="false" ht="23.25" hidden="false" customHeight="true" outlineLevel="0" collapsed="false">
      <c r="A15" s="3" t="s">
        <v>16</v>
      </c>
      <c r="B15" s="3" t="s">
        <v>90</v>
      </c>
      <c r="C15" s="4" t="s">
        <v>18</v>
      </c>
      <c r="D15" s="4" t="s">
        <v>51</v>
      </c>
      <c r="E15" s="4" t="s">
        <v>20</v>
      </c>
      <c r="F15" s="4" t="s">
        <v>21</v>
      </c>
      <c r="G15" s="3"/>
      <c r="H15" s="3" t="s">
        <v>91</v>
      </c>
      <c r="I15" s="3" t="s">
        <v>92</v>
      </c>
      <c r="J15" s="3" t="s">
        <v>93</v>
      </c>
      <c r="K15" s="3" t="s">
        <v>94</v>
      </c>
      <c r="L15" s="3"/>
      <c r="M15" s="3"/>
      <c r="N15" s="3"/>
      <c r="O15" s="3"/>
      <c r="P15" s="5" t="s">
        <v>32</v>
      </c>
    </row>
    <row r="16" customFormat="false" ht="15" hidden="false" customHeight="true" outlineLevel="0" collapsed="false">
      <c r="A16" s="3" t="s">
        <v>16</v>
      </c>
      <c r="B16" s="3" t="s">
        <v>95</v>
      </c>
      <c r="C16" s="4" t="s">
        <v>18</v>
      </c>
      <c r="D16" s="4" t="s">
        <v>19</v>
      </c>
      <c r="E16" s="4" t="s">
        <v>20</v>
      </c>
      <c r="F16" s="4" t="s">
        <v>21</v>
      </c>
      <c r="G16" s="3"/>
      <c r="H16" s="3" t="s">
        <v>42</v>
      </c>
      <c r="I16" s="3" t="s">
        <v>96</v>
      </c>
      <c r="J16" s="3" t="s">
        <v>97</v>
      </c>
      <c r="K16" s="3" t="s">
        <v>98</v>
      </c>
      <c r="L16" s="3"/>
      <c r="M16" s="3"/>
      <c r="N16" s="3"/>
      <c r="O16" s="3"/>
      <c r="P16" s="5" t="s">
        <v>38</v>
      </c>
    </row>
    <row r="17" customFormat="false" ht="23.25" hidden="false" customHeight="true" outlineLevel="0" collapsed="false">
      <c r="A17" s="3" t="s">
        <v>16</v>
      </c>
      <c r="B17" s="3" t="s">
        <v>99</v>
      </c>
      <c r="C17" s="4" t="s">
        <v>18</v>
      </c>
      <c r="D17" s="4" t="s">
        <v>19</v>
      </c>
      <c r="E17" s="4" t="s">
        <v>20</v>
      </c>
      <c r="F17" s="4" t="s">
        <v>21</v>
      </c>
      <c r="G17" s="3"/>
      <c r="H17" s="3" t="s">
        <v>100</v>
      </c>
      <c r="I17" s="3" t="s">
        <v>101</v>
      </c>
      <c r="J17" s="3" t="s">
        <v>102</v>
      </c>
      <c r="K17" s="3" t="s">
        <v>103</v>
      </c>
      <c r="L17" s="3"/>
      <c r="M17" s="3"/>
      <c r="N17" s="3"/>
      <c r="O17" s="3"/>
      <c r="P17" s="5" t="s">
        <v>44</v>
      </c>
    </row>
    <row r="18" customFormat="false" ht="23.25" hidden="false" customHeight="true" outlineLevel="0" collapsed="false">
      <c r="A18" s="3" t="s">
        <v>16</v>
      </c>
      <c r="B18" s="3" t="s">
        <v>104</v>
      </c>
      <c r="C18" s="4" t="s">
        <v>18</v>
      </c>
      <c r="D18" s="4" t="s">
        <v>51</v>
      </c>
      <c r="E18" s="4" t="s">
        <v>20</v>
      </c>
      <c r="F18" s="4" t="s">
        <v>21</v>
      </c>
      <c r="G18" s="3"/>
      <c r="H18" s="3" t="s">
        <v>105</v>
      </c>
      <c r="I18" s="3" t="s">
        <v>106</v>
      </c>
      <c r="J18" s="3" t="s">
        <v>107</v>
      </c>
      <c r="K18" s="3" t="s">
        <v>108</v>
      </c>
      <c r="L18" s="3"/>
      <c r="M18" s="3"/>
      <c r="N18" s="3"/>
      <c r="O18" s="3"/>
      <c r="P18" s="5" t="s">
        <v>44</v>
      </c>
    </row>
    <row r="19" customFormat="false" ht="23.25" hidden="false" customHeight="true" outlineLevel="0" collapsed="false">
      <c r="A19" s="3" t="s">
        <v>16</v>
      </c>
      <c r="B19" s="3" t="s">
        <v>109</v>
      </c>
      <c r="C19" s="4" t="s">
        <v>18</v>
      </c>
      <c r="D19" s="4" t="s">
        <v>19</v>
      </c>
      <c r="E19" s="4" t="s">
        <v>20</v>
      </c>
      <c r="F19" s="4" t="s">
        <v>21</v>
      </c>
      <c r="G19" s="3"/>
      <c r="H19" s="3" t="s">
        <v>110</v>
      </c>
      <c r="I19" s="3" t="s">
        <v>111</v>
      </c>
      <c r="J19" s="3" t="s">
        <v>112</v>
      </c>
      <c r="K19" s="3" t="s">
        <v>113</v>
      </c>
      <c r="L19" s="3"/>
      <c r="M19" s="3"/>
      <c r="N19" s="3"/>
      <c r="O19" s="3"/>
      <c r="P19" s="5" t="s">
        <v>26</v>
      </c>
    </row>
    <row r="20" customFormat="false" ht="23.25" hidden="false" customHeight="true" outlineLevel="0" collapsed="false">
      <c r="A20" s="3" t="s">
        <v>16</v>
      </c>
      <c r="B20" s="3" t="s">
        <v>114</v>
      </c>
      <c r="C20" s="4" t="s">
        <v>18</v>
      </c>
      <c r="D20" s="4" t="s">
        <v>51</v>
      </c>
      <c r="E20" s="4" t="s">
        <v>20</v>
      </c>
      <c r="F20" s="4" t="s">
        <v>21</v>
      </c>
      <c r="G20" s="3"/>
      <c r="H20" s="3" t="s">
        <v>115</v>
      </c>
      <c r="I20" s="3" t="s">
        <v>116</v>
      </c>
      <c r="J20" s="3" t="s">
        <v>117</v>
      </c>
      <c r="K20" s="3" t="s">
        <v>118</v>
      </c>
      <c r="L20" s="3"/>
      <c r="M20" s="3"/>
      <c r="N20" s="3"/>
      <c r="O20" s="3"/>
      <c r="P20" s="5" t="s">
        <v>44</v>
      </c>
    </row>
    <row r="21" customFormat="false" ht="23.25" hidden="false" customHeight="true" outlineLevel="0" collapsed="false">
      <c r="A21" s="3" t="s">
        <v>16</v>
      </c>
      <c r="B21" s="3" t="s">
        <v>119</v>
      </c>
      <c r="C21" s="4" t="s">
        <v>18</v>
      </c>
      <c r="D21" s="4" t="s">
        <v>19</v>
      </c>
      <c r="E21" s="4" t="s">
        <v>20</v>
      </c>
      <c r="F21" s="4" t="s">
        <v>21</v>
      </c>
      <c r="G21" s="3"/>
      <c r="H21" s="3" t="s">
        <v>68</v>
      </c>
      <c r="I21" s="3" t="s">
        <v>120</v>
      </c>
      <c r="J21" s="3" t="s">
        <v>121</v>
      </c>
      <c r="K21" s="3" t="s">
        <v>122</v>
      </c>
      <c r="L21" s="3"/>
      <c r="M21" s="3"/>
      <c r="N21" s="3"/>
      <c r="O21" s="3"/>
      <c r="P21" s="5" t="s">
        <v>38</v>
      </c>
    </row>
    <row r="22" customFormat="false" ht="23.25" hidden="false" customHeight="true" outlineLevel="0" collapsed="false">
      <c r="A22" s="3" t="s">
        <v>16</v>
      </c>
      <c r="B22" s="3" t="s">
        <v>123</v>
      </c>
      <c r="C22" s="4" t="s">
        <v>18</v>
      </c>
      <c r="D22" s="4" t="s">
        <v>19</v>
      </c>
      <c r="E22" s="4" t="s">
        <v>20</v>
      </c>
      <c r="F22" s="4" t="s">
        <v>21</v>
      </c>
      <c r="G22" s="3"/>
      <c r="H22" s="3" t="s">
        <v>124</v>
      </c>
      <c r="I22" s="3" t="s">
        <v>125</v>
      </c>
      <c r="J22" s="3" t="s">
        <v>126</v>
      </c>
      <c r="K22" s="3" t="s">
        <v>127</v>
      </c>
      <c r="L22" s="3"/>
      <c r="M22" s="3"/>
      <c r="N22" s="3"/>
      <c r="O22" s="3"/>
      <c r="P22" s="5" t="s">
        <v>44</v>
      </c>
    </row>
    <row r="23" customFormat="false" ht="23.25" hidden="false" customHeight="true" outlineLevel="0" collapsed="false">
      <c r="A23" s="3" t="s">
        <v>16</v>
      </c>
      <c r="B23" s="3" t="s">
        <v>128</v>
      </c>
      <c r="C23" s="4" t="s">
        <v>18</v>
      </c>
      <c r="D23" s="4" t="s">
        <v>19</v>
      </c>
      <c r="E23" s="4" t="s">
        <v>20</v>
      </c>
      <c r="F23" s="4" t="s">
        <v>21</v>
      </c>
      <c r="G23" s="3"/>
      <c r="H23" s="3" t="s">
        <v>129</v>
      </c>
      <c r="I23" s="3" t="s">
        <v>130</v>
      </c>
      <c r="J23" s="3" t="s">
        <v>131</v>
      </c>
      <c r="K23" s="3" t="s">
        <v>102</v>
      </c>
      <c r="L23" s="3"/>
      <c r="M23" s="3"/>
      <c r="N23" s="3"/>
      <c r="O23" s="3"/>
      <c r="P23" s="5" t="s">
        <v>32</v>
      </c>
    </row>
    <row r="24" customFormat="false" ht="23.25" hidden="false" customHeight="true" outlineLevel="0" collapsed="false">
      <c r="A24" s="3" t="s">
        <v>16</v>
      </c>
      <c r="B24" s="3" t="s">
        <v>132</v>
      </c>
      <c r="C24" s="4" t="s">
        <v>18</v>
      </c>
      <c r="D24" s="4" t="s">
        <v>19</v>
      </c>
      <c r="E24" s="4" t="s">
        <v>20</v>
      </c>
      <c r="F24" s="4" t="s">
        <v>21</v>
      </c>
      <c r="G24" s="3"/>
      <c r="H24" s="3" t="s">
        <v>133</v>
      </c>
      <c r="I24" s="3" t="s">
        <v>68</v>
      </c>
      <c r="J24" s="3" t="s">
        <v>134</v>
      </c>
      <c r="K24" s="3" t="s">
        <v>135</v>
      </c>
      <c r="L24" s="3"/>
      <c r="M24" s="3"/>
      <c r="N24" s="3"/>
      <c r="O24" s="3"/>
      <c r="P24" s="5" t="s">
        <v>26</v>
      </c>
    </row>
    <row r="25" customFormat="false" ht="23.25" hidden="false" customHeight="true" outlineLevel="0" collapsed="false">
      <c r="A25" s="3" t="s">
        <v>16</v>
      </c>
      <c r="B25" s="3" t="s">
        <v>136</v>
      </c>
      <c r="C25" s="4" t="s">
        <v>18</v>
      </c>
      <c r="D25" s="4" t="s">
        <v>51</v>
      </c>
      <c r="E25" s="4" t="s">
        <v>20</v>
      </c>
      <c r="F25" s="4" t="s">
        <v>21</v>
      </c>
      <c r="G25" s="3"/>
      <c r="H25" s="3" t="s">
        <v>137</v>
      </c>
      <c r="I25" s="3" t="s">
        <v>138</v>
      </c>
      <c r="J25" s="3" t="s">
        <v>139</v>
      </c>
      <c r="K25" s="3" t="s">
        <v>140</v>
      </c>
      <c r="L25" s="3"/>
      <c r="M25" s="3"/>
      <c r="N25" s="3"/>
      <c r="O25" s="3"/>
      <c r="P25" s="5" t="s">
        <v>26</v>
      </c>
    </row>
    <row r="26" customFormat="false" ht="34.5" hidden="false" customHeight="true" outlineLevel="0" collapsed="false">
      <c r="A26" s="3" t="s">
        <v>16</v>
      </c>
      <c r="B26" s="3" t="s">
        <v>141</v>
      </c>
      <c r="C26" s="4" t="s">
        <v>18</v>
      </c>
      <c r="D26" s="4" t="s">
        <v>51</v>
      </c>
      <c r="E26" s="4" t="s">
        <v>20</v>
      </c>
      <c r="F26" s="4" t="s">
        <v>21</v>
      </c>
      <c r="G26" s="3"/>
      <c r="H26" s="3" t="s">
        <v>142</v>
      </c>
      <c r="I26" s="3" t="s">
        <v>143</v>
      </c>
      <c r="J26" s="3" t="s">
        <v>144</v>
      </c>
      <c r="K26" s="3" t="s">
        <v>145</v>
      </c>
      <c r="L26" s="3"/>
      <c r="M26" s="3"/>
      <c r="N26" s="3"/>
      <c r="O26" s="3"/>
      <c r="P26" s="5" t="s">
        <v>32</v>
      </c>
    </row>
    <row r="27" customFormat="false" ht="23.25" hidden="false" customHeight="true" outlineLevel="0" collapsed="false">
      <c r="A27" s="3" t="s">
        <v>16</v>
      </c>
      <c r="B27" s="3" t="s">
        <v>146</v>
      </c>
      <c r="C27" s="4" t="s">
        <v>18</v>
      </c>
      <c r="D27" s="4" t="s">
        <v>51</v>
      </c>
      <c r="E27" s="4" t="s">
        <v>20</v>
      </c>
      <c r="F27" s="4" t="s">
        <v>21</v>
      </c>
      <c r="G27" s="3"/>
      <c r="H27" s="3" t="s">
        <v>147</v>
      </c>
      <c r="I27" s="3" t="s">
        <v>148</v>
      </c>
      <c r="J27" s="3" t="s">
        <v>149</v>
      </c>
      <c r="K27" s="3" t="s">
        <v>150</v>
      </c>
      <c r="L27" s="3"/>
      <c r="M27" s="3"/>
      <c r="N27" s="3"/>
      <c r="O27" s="3"/>
      <c r="P27" s="5" t="s">
        <v>44</v>
      </c>
    </row>
    <row r="28" customFormat="false" ht="34.5" hidden="false" customHeight="true" outlineLevel="0" collapsed="false">
      <c r="A28" s="3" t="s">
        <v>16</v>
      </c>
      <c r="B28" s="3" t="s">
        <v>151</v>
      </c>
      <c r="C28" s="4" t="s">
        <v>18</v>
      </c>
      <c r="D28" s="4" t="s">
        <v>51</v>
      </c>
      <c r="E28" s="4" t="s">
        <v>20</v>
      </c>
      <c r="F28" s="4" t="s">
        <v>21</v>
      </c>
      <c r="G28" s="3"/>
      <c r="H28" s="3" t="s">
        <v>152</v>
      </c>
      <c r="I28" s="3" t="s">
        <v>153</v>
      </c>
      <c r="J28" s="3" t="s">
        <v>154</v>
      </c>
      <c r="K28" s="3" t="s">
        <v>155</v>
      </c>
      <c r="L28" s="3"/>
      <c r="M28" s="3"/>
      <c r="N28" s="3"/>
      <c r="O28" s="3"/>
      <c r="P28" s="5" t="s">
        <v>38</v>
      </c>
    </row>
    <row r="29" customFormat="false" ht="23.25" hidden="false" customHeight="true" outlineLevel="0" collapsed="false">
      <c r="A29" s="3" t="s">
        <v>16</v>
      </c>
      <c r="B29" s="3" t="s">
        <v>156</v>
      </c>
      <c r="C29" s="4" t="s">
        <v>18</v>
      </c>
      <c r="D29" s="4" t="s">
        <v>157</v>
      </c>
      <c r="E29" s="4" t="s">
        <v>20</v>
      </c>
      <c r="F29" s="4" t="s">
        <v>21</v>
      </c>
      <c r="G29" s="3"/>
      <c r="H29" s="3" t="s">
        <v>158</v>
      </c>
      <c r="I29" s="3" t="s">
        <v>159</v>
      </c>
      <c r="J29" s="3" t="s">
        <v>160</v>
      </c>
      <c r="K29" s="3" t="s">
        <v>161</v>
      </c>
      <c r="L29" s="3"/>
      <c r="M29" s="3"/>
      <c r="N29" s="3"/>
      <c r="O29" s="3"/>
      <c r="P29" s="5" t="s">
        <v>44</v>
      </c>
    </row>
    <row r="30" customFormat="false" ht="23.25" hidden="false" customHeight="true" outlineLevel="0" collapsed="false">
      <c r="A30" s="3" t="s">
        <v>16</v>
      </c>
      <c r="B30" s="3" t="s">
        <v>162</v>
      </c>
      <c r="C30" s="4" t="s">
        <v>18</v>
      </c>
      <c r="D30" s="4" t="s">
        <v>157</v>
      </c>
      <c r="E30" s="4" t="s">
        <v>20</v>
      </c>
      <c r="F30" s="4" t="s">
        <v>21</v>
      </c>
      <c r="G30" s="3"/>
      <c r="H30" s="3" t="s">
        <v>163</v>
      </c>
      <c r="I30" s="3" t="s">
        <v>164</v>
      </c>
      <c r="J30" s="3" t="s">
        <v>165</v>
      </c>
      <c r="K30" s="3" t="s">
        <v>166</v>
      </c>
      <c r="L30" s="3"/>
      <c r="M30" s="3"/>
      <c r="N30" s="3"/>
      <c r="O30" s="3"/>
      <c r="P30" s="5" t="s">
        <v>32</v>
      </c>
    </row>
    <row r="31" customFormat="false" ht="23.25" hidden="false" customHeight="true" outlineLevel="0" collapsed="false">
      <c r="A31" s="3" t="s">
        <v>16</v>
      </c>
      <c r="B31" s="3" t="s">
        <v>167</v>
      </c>
      <c r="C31" s="4" t="s">
        <v>18</v>
      </c>
      <c r="D31" s="4" t="s">
        <v>157</v>
      </c>
      <c r="E31" s="4" t="s">
        <v>20</v>
      </c>
      <c r="F31" s="4" t="s">
        <v>21</v>
      </c>
      <c r="G31" s="3"/>
      <c r="H31" s="3" t="s">
        <v>168</v>
      </c>
      <c r="I31" s="3" t="s">
        <v>169</v>
      </c>
      <c r="J31" s="3" t="s">
        <v>170</v>
      </c>
      <c r="K31" s="3" t="s">
        <v>171</v>
      </c>
      <c r="L31" s="3"/>
      <c r="M31" s="3"/>
      <c r="N31" s="3"/>
      <c r="O31" s="3"/>
      <c r="P31" s="5" t="s">
        <v>26</v>
      </c>
    </row>
    <row r="32" customFormat="false" ht="23.25" hidden="false" customHeight="true" outlineLevel="0" collapsed="false">
      <c r="A32" s="3" t="s">
        <v>16</v>
      </c>
      <c r="B32" s="3" t="s">
        <v>172</v>
      </c>
      <c r="C32" s="4" t="s">
        <v>18</v>
      </c>
      <c r="D32" s="4" t="s">
        <v>157</v>
      </c>
      <c r="E32" s="4" t="s">
        <v>20</v>
      </c>
      <c r="F32" s="4" t="s">
        <v>21</v>
      </c>
      <c r="G32" s="3"/>
      <c r="H32" s="3" t="s">
        <v>173</v>
      </c>
      <c r="I32" s="3" t="s">
        <v>174</v>
      </c>
      <c r="J32" s="3" t="s">
        <v>175</v>
      </c>
      <c r="K32" s="3" t="s">
        <v>176</v>
      </c>
      <c r="L32" s="3"/>
      <c r="M32" s="3"/>
      <c r="N32" s="3"/>
      <c r="O32" s="3"/>
      <c r="P32" s="5" t="s">
        <v>26</v>
      </c>
    </row>
    <row r="33" customFormat="false" ht="15" hidden="false" customHeight="true" outlineLevel="0" collapsed="false">
      <c r="A33" s="3" t="s">
        <v>16</v>
      </c>
      <c r="B33" s="3" t="s">
        <v>177</v>
      </c>
      <c r="C33" s="4" t="s">
        <v>18</v>
      </c>
      <c r="D33" s="4" t="s">
        <v>157</v>
      </c>
      <c r="E33" s="4" t="s">
        <v>20</v>
      </c>
      <c r="F33" s="4" t="s">
        <v>21</v>
      </c>
      <c r="G33" s="3"/>
      <c r="H33" s="3" t="s">
        <v>178</v>
      </c>
      <c r="I33" s="3" t="s">
        <v>179</v>
      </c>
      <c r="J33" s="3" t="s">
        <v>180</v>
      </c>
      <c r="K33" s="3" t="s">
        <v>181</v>
      </c>
      <c r="L33" s="3"/>
      <c r="M33" s="3"/>
      <c r="N33" s="3"/>
      <c r="O33" s="3"/>
      <c r="P33" s="5" t="s">
        <v>32</v>
      </c>
    </row>
    <row r="34" customFormat="false" ht="23.25" hidden="false" customHeight="true" outlineLevel="0" collapsed="false">
      <c r="A34" s="3" t="s">
        <v>16</v>
      </c>
      <c r="B34" s="3" t="s">
        <v>182</v>
      </c>
      <c r="C34" s="4" t="s">
        <v>18</v>
      </c>
      <c r="D34" s="4" t="s">
        <v>157</v>
      </c>
      <c r="E34" s="4" t="s">
        <v>20</v>
      </c>
      <c r="F34" s="4" t="s">
        <v>21</v>
      </c>
      <c r="G34" s="3"/>
      <c r="H34" s="3" t="s">
        <v>183</v>
      </c>
      <c r="I34" s="3" t="s">
        <v>184</v>
      </c>
      <c r="J34" s="3" t="s">
        <v>185</v>
      </c>
      <c r="K34" s="3" t="s">
        <v>186</v>
      </c>
      <c r="L34" s="3"/>
      <c r="M34" s="3"/>
      <c r="N34" s="3"/>
      <c r="O34" s="3"/>
      <c r="P34" s="5" t="s">
        <v>38</v>
      </c>
    </row>
    <row r="35" customFormat="false" ht="23.25" hidden="false" customHeight="true" outlineLevel="0" collapsed="false">
      <c r="A35" s="3" t="s">
        <v>16</v>
      </c>
      <c r="B35" s="3" t="s">
        <v>187</v>
      </c>
      <c r="C35" s="4" t="s">
        <v>18</v>
      </c>
      <c r="D35" s="4" t="s">
        <v>157</v>
      </c>
      <c r="E35" s="4" t="s">
        <v>20</v>
      </c>
      <c r="F35" s="4" t="s">
        <v>21</v>
      </c>
      <c r="G35" s="3"/>
      <c r="H35" s="3" t="s">
        <v>188</v>
      </c>
      <c r="I35" s="3" t="s">
        <v>189</v>
      </c>
      <c r="J35" s="3" t="s">
        <v>190</v>
      </c>
      <c r="K35" s="3" t="s">
        <v>191</v>
      </c>
      <c r="L35" s="3"/>
      <c r="M35" s="3"/>
      <c r="N35" s="3"/>
      <c r="O35" s="3"/>
      <c r="P35" s="5" t="s">
        <v>44</v>
      </c>
    </row>
    <row r="36" customFormat="false" ht="23.25" hidden="false" customHeight="true" outlineLevel="0" collapsed="false">
      <c r="A36" s="3" t="s">
        <v>16</v>
      </c>
      <c r="B36" s="3" t="s">
        <v>192</v>
      </c>
      <c r="C36" s="4" t="s">
        <v>18</v>
      </c>
      <c r="D36" s="4" t="s">
        <v>157</v>
      </c>
      <c r="E36" s="4" t="s">
        <v>20</v>
      </c>
      <c r="F36" s="4" t="s">
        <v>21</v>
      </c>
      <c r="G36" s="3"/>
      <c r="H36" s="3" t="s">
        <v>193</v>
      </c>
      <c r="I36" s="3" t="s">
        <v>194</v>
      </c>
      <c r="J36" s="3" t="s">
        <v>195</v>
      </c>
      <c r="K36" s="3" t="s">
        <v>196</v>
      </c>
      <c r="L36" s="3"/>
      <c r="M36" s="3"/>
      <c r="N36" s="3"/>
      <c r="O36" s="3"/>
      <c r="P36" s="5" t="s">
        <v>44</v>
      </c>
    </row>
    <row r="37" customFormat="false" ht="34.5" hidden="false" customHeight="true" outlineLevel="0" collapsed="false">
      <c r="A37" s="3" t="s">
        <v>16</v>
      </c>
      <c r="B37" s="3" t="s">
        <v>197</v>
      </c>
      <c r="C37" s="4" t="s">
        <v>18</v>
      </c>
      <c r="D37" s="4" t="s">
        <v>157</v>
      </c>
      <c r="E37" s="4" t="s">
        <v>20</v>
      </c>
      <c r="F37" s="4" t="s">
        <v>21</v>
      </c>
      <c r="G37" s="3"/>
      <c r="H37" s="3" t="s">
        <v>198</v>
      </c>
      <c r="I37" s="3" t="s">
        <v>199</v>
      </c>
      <c r="J37" s="3" t="s">
        <v>200</v>
      </c>
      <c r="K37" s="3" t="s">
        <v>201</v>
      </c>
      <c r="L37" s="3"/>
      <c r="M37" s="3"/>
      <c r="N37" s="3"/>
      <c r="O37" s="3"/>
      <c r="P37" s="5" t="s">
        <v>32</v>
      </c>
    </row>
    <row r="38" customFormat="false" ht="23.25" hidden="false" customHeight="true" outlineLevel="0" collapsed="false">
      <c r="A38" s="3" t="s">
        <v>16</v>
      </c>
      <c r="B38" s="3" t="s">
        <v>202</v>
      </c>
      <c r="C38" s="4" t="s">
        <v>18</v>
      </c>
      <c r="D38" s="4" t="s">
        <v>19</v>
      </c>
      <c r="E38" s="4" t="s">
        <v>20</v>
      </c>
      <c r="F38" s="4" t="s">
        <v>21</v>
      </c>
      <c r="G38" s="3"/>
      <c r="H38" s="3" t="s">
        <v>203</v>
      </c>
      <c r="I38" s="3" t="s">
        <v>204</v>
      </c>
      <c r="J38" s="3" t="s">
        <v>205</v>
      </c>
      <c r="K38" s="3" t="s">
        <v>206</v>
      </c>
      <c r="L38" s="3"/>
      <c r="M38" s="3"/>
      <c r="N38" s="3"/>
      <c r="O38" s="3"/>
      <c r="P38" s="5" t="s">
        <v>38</v>
      </c>
    </row>
    <row r="39" customFormat="false" ht="23.25" hidden="false" customHeight="true" outlineLevel="0" collapsed="false">
      <c r="A39" s="3" t="s">
        <v>16</v>
      </c>
      <c r="B39" s="3" t="s">
        <v>207</v>
      </c>
      <c r="C39" s="4" t="s">
        <v>18</v>
      </c>
      <c r="D39" s="4" t="s">
        <v>51</v>
      </c>
      <c r="E39" s="4" t="s">
        <v>20</v>
      </c>
      <c r="F39" s="4" t="s">
        <v>21</v>
      </c>
      <c r="G39" s="3"/>
      <c r="H39" s="3" t="s">
        <v>208</v>
      </c>
      <c r="I39" s="3" t="s">
        <v>209</v>
      </c>
      <c r="J39" s="3" t="s">
        <v>203</v>
      </c>
      <c r="K39" s="3" t="s">
        <v>210</v>
      </c>
      <c r="L39" s="3"/>
      <c r="M39" s="3"/>
      <c r="N39" s="3"/>
      <c r="O39" s="3"/>
      <c r="P39" s="5" t="s">
        <v>44</v>
      </c>
    </row>
    <row r="40" customFormat="false" ht="23.25" hidden="false" customHeight="true" outlineLevel="0" collapsed="false">
      <c r="A40" s="3" t="s">
        <v>16</v>
      </c>
      <c r="B40" s="3" t="s">
        <v>211</v>
      </c>
      <c r="C40" s="4" t="s">
        <v>18</v>
      </c>
      <c r="D40" s="4" t="s">
        <v>51</v>
      </c>
      <c r="E40" s="4" t="s">
        <v>20</v>
      </c>
      <c r="F40" s="4" t="s">
        <v>21</v>
      </c>
      <c r="G40" s="3"/>
      <c r="H40" s="3" t="s">
        <v>203</v>
      </c>
      <c r="I40" s="3" t="s">
        <v>212</v>
      </c>
      <c r="J40" s="3" t="s">
        <v>213</v>
      </c>
      <c r="K40" s="3" t="s">
        <v>214</v>
      </c>
      <c r="L40" s="3"/>
      <c r="M40" s="3"/>
      <c r="N40" s="3"/>
      <c r="O40" s="3"/>
      <c r="P40" s="5" t="s">
        <v>38</v>
      </c>
    </row>
    <row r="41" customFormat="false" ht="23.25" hidden="false" customHeight="true" outlineLevel="0" collapsed="false">
      <c r="A41" s="3" t="s">
        <v>16</v>
      </c>
      <c r="B41" s="3" t="s">
        <v>215</v>
      </c>
      <c r="C41" s="4" t="s">
        <v>18</v>
      </c>
      <c r="D41" s="4" t="s">
        <v>51</v>
      </c>
      <c r="E41" s="4" t="s">
        <v>20</v>
      </c>
      <c r="F41" s="4" t="s">
        <v>21</v>
      </c>
      <c r="G41" s="3"/>
      <c r="H41" s="3" t="s">
        <v>216</v>
      </c>
      <c r="I41" s="3" t="s">
        <v>203</v>
      </c>
      <c r="J41" s="3" t="s">
        <v>217</v>
      </c>
      <c r="K41" s="3" t="s">
        <v>218</v>
      </c>
      <c r="L41" s="3"/>
      <c r="M41" s="3"/>
      <c r="N41" s="3"/>
      <c r="O41" s="3"/>
      <c r="P41" s="5" t="s">
        <v>26</v>
      </c>
    </row>
    <row r="42" customFormat="false" ht="23.25" hidden="false" customHeight="true" outlineLevel="0" collapsed="false">
      <c r="A42" s="3" t="s">
        <v>16</v>
      </c>
      <c r="B42" s="3" t="s">
        <v>219</v>
      </c>
      <c r="C42" s="4" t="s">
        <v>18</v>
      </c>
      <c r="D42" s="4" t="s">
        <v>19</v>
      </c>
      <c r="E42" s="4" t="s">
        <v>20</v>
      </c>
      <c r="F42" s="4" t="s">
        <v>21</v>
      </c>
      <c r="G42" s="3"/>
      <c r="H42" s="3" t="s">
        <v>220</v>
      </c>
      <c r="I42" s="3" t="s">
        <v>68</v>
      </c>
      <c r="J42" s="3" t="s">
        <v>221</v>
      </c>
      <c r="K42" s="3" t="s">
        <v>222</v>
      </c>
      <c r="L42" s="3"/>
      <c r="M42" s="3"/>
      <c r="N42" s="3"/>
      <c r="O42" s="3"/>
      <c r="P42" s="5" t="s">
        <v>26</v>
      </c>
    </row>
    <row r="43" customFormat="false" ht="23.25" hidden="false" customHeight="true" outlineLevel="0" collapsed="false">
      <c r="A43" s="3" t="s">
        <v>16</v>
      </c>
      <c r="B43" s="3" t="s">
        <v>223</v>
      </c>
      <c r="C43" s="4" t="s">
        <v>18</v>
      </c>
      <c r="D43" s="4" t="s">
        <v>19</v>
      </c>
      <c r="E43" s="4" t="s">
        <v>20</v>
      </c>
      <c r="F43" s="4" t="s">
        <v>21</v>
      </c>
      <c r="G43" s="3"/>
      <c r="H43" s="3" t="s">
        <v>224</v>
      </c>
      <c r="I43" s="3" t="s">
        <v>225</v>
      </c>
      <c r="J43" s="3" t="s">
        <v>226</v>
      </c>
      <c r="K43" s="3" t="s">
        <v>227</v>
      </c>
      <c r="L43" s="3"/>
      <c r="M43" s="3"/>
      <c r="N43" s="3"/>
      <c r="O43" s="3"/>
      <c r="P43" s="5" t="s">
        <v>32</v>
      </c>
    </row>
    <row r="44" customFormat="false" ht="23.25" hidden="false" customHeight="true" outlineLevel="0" collapsed="false">
      <c r="A44" s="3" t="s">
        <v>16</v>
      </c>
      <c r="B44" s="3" t="s">
        <v>228</v>
      </c>
      <c r="C44" s="4" t="s">
        <v>18</v>
      </c>
      <c r="D44" s="4" t="s">
        <v>19</v>
      </c>
      <c r="E44" s="4" t="s">
        <v>20</v>
      </c>
      <c r="F44" s="4" t="s">
        <v>21</v>
      </c>
      <c r="G44" s="3"/>
      <c r="H44" s="3" t="s">
        <v>229</v>
      </c>
      <c r="I44" s="3" t="s">
        <v>230</v>
      </c>
      <c r="J44" s="3" t="s">
        <v>231</v>
      </c>
      <c r="K44" s="3" t="s">
        <v>232</v>
      </c>
      <c r="L44" s="3"/>
      <c r="M44" s="3"/>
      <c r="N44" s="3"/>
      <c r="O44" s="3"/>
      <c r="P44" s="5" t="s">
        <v>44</v>
      </c>
    </row>
    <row r="45" customFormat="false" ht="23.25" hidden="false" customHeight="true" outlineLevel="0" collapsed="false">
      <c r="A45" s="3" t="s">
        <v>16</v>
      </c>
      <c r="B45" s="3" t="s">
        <v>233</v>
      </c>
      <c r="C45" s="4" t="s">
        <v>18</v>
      </c>
      <c r="D45" s="4" t="s">
        <v>51</v>
      </c>
      <c r="E45" s="4" t="s">
        <v>20</v>
      </c>
      <c r="F45" s="4" t="s">
        <v>21</v>
      </c>
      <c r="G45" s="3"/>
      <c r="H45" s="3" t="s">
        <v>234</v>
      </c>
      <c r="I45" s="3" t="s">
        <v>235</v>
      </c>
      <c r="J45" s="3" t="s">
        <v>236</v>
      </c>
      <c r="K45" s="3" t="s">
        <v>237</v>
      </c>
      <c r="L45" s="3"/>
      <c r="M45" s="3"/>
      <c r="N45" s="3"/>
      <c r="O45" s="3"/>
      <c r="P45" s="5" t="s">
        <v>38</v>
      </c>
    </row>
    <row r="46" customFormat="false" ht="23.25" hidden="false" customHeight="true" outlineLevel="0" collapsed="false">
      <c r="A46" s="3" t="s">
        <v>16</v>
      </c>
      <c r="B46" s="3" t="s">
        <v>238</v>
      </c>
      <c r="C46" s="4" t="s">
        <v>18</v>
      </c>
      <c r="D46" s="4" t="s">
        <v>51</v>
      </c>
      <c r="E46" s="4" t="s">
        <v>20</v>
      </c>
      <c r="F46" s="4" t="s">
        <v>21</v>
      </c>
      <c r="G46" s="3"/>
      <c r="H46" s="3" t="s">
        <v>239</v>
      </c>
      <c r="I46" s="3" t="s">
        <v>240</v>
      </c>
      <c r="J46" s="3" t="s">
        <v>241</v>
      </c>
      <c r="K46" s="3" t="s">
        <v>242</v>
      </c>
      <c r="L46" s="3"/>
      <c r="M46" s="3"/>
      <c r="N46" s="3"/>
      <c r="O46" s="3"/>
      <c r="P46" s="5" t="s">
        <v>44</v>
      </c>
    </row>
    <row r="47" customFormat="false" ht="23.25" hidden="false" customHeight="true" outlineLevel="0" collapsed="false">
      <c r="A47" s="3" t="s">
        <v>16</v>
      </c>
      <c r="B47" s="3" t="s">
        <v>243</v>
      </c>
      <c r="C47" s="4" t="s">
        <v>18</v>
      </c>
      <c r="D47" s="4" t="s">
        <v>51</v>
      </c>
      <c r="E47" s="4" t="s">
        <v>20</v>
      </c>
      <c r="F47" s="4" t="s">
        <v>21</v>
      </c>
      <c r="G47" s="3"/>
      <c r="H47" s="3" t="s">
        <v>244</v>
      </c>
      <c r="I47" s="3" t="s">
        <v>245</v>
      </c>
      <c r="J47" s="3" t="s">
        <v>246</v>
      </c>
      <c r="K47" s="3" t="s">
        <v>247</v>
      </c>
      <c r="L47" s="3"/>
      <c r="M47" s="3"/>
      <c r="N47" s="3"/>
      <c r="O47" s="3"/>
      <c r="P47" s="5" t="s">
        <v>32</v>
      </c>
    </row>
    <row r="48" customFormat="false" ht="23.25" hidden="false" customHeight="true" outlineLevel="0" collapsed="false">
      <c r="A48" s="3" t="s">
        <v>16</v>
      </c>
      <c r="B48" s="3" t="s">
        <v>248</v>
      </c>
      <c r="C48" s="4" t="s">
        <v>18</v>
      </c>
      <c r="D48" s="4" t="s">
        <v>19</v>
      </c>
      <c r="E48" s="4" t="s">
        <v>20</v>
      </c>
      <c r="F48" s="4" t="s">
        <v>21</v>
      </c>
      <c r="G48" s="3"/>
      <c r="H48" s="3" t="s">
        <v>249</v>
      </c>
      <c r="I48" s="3" t="s">
        <v>68</v>
      </c>
      <c r="J48" s="3" t="s">
        <v>250</v>
      </c>
      <c r="K48" s="3" t="s">
        <v>70</v>
      </c>
      <c r="L48" s="3"/>
      <c r="M48" s="3"/>
      <c r="N48" s="3"/>
      <c r="O48" s="3"/>
      <c r="P48" s="5" t="s">
        <v>26</v>
      </c>
    </row>
    <row r="49" customFormat="false" ht="23.25" hidden="false" customHeight="true" outlineLevel="0" collapsed="false">
      <c r="A49" s="3" t="s">
        <v>16</v>
      </c>
      <c r="B49" s="3" t="s">
        <v>251</v>
      </c>
      <c r="C49" s="4" t="s">
        <v>18</v>
      </c>
      <c r="D49" s="4" t="s">
        <v>19</v>
      </c>
      <c r="E49" s="4" t="s">
        <v>20</v>
      </c>
      <c r="F49" s="4" t="s">
        <v>21</v>
      </c>
      <c r="G49" s="3"/>
      <c r="H49" s="3" t="s">
        <v>252</v>
      </c>
      <c r="I49" s="3" t="s">
        <v>253</v>
      </c>
      <c r="J49" s="3" t="s">
        <v>254</v>
      </c>
      <c r="K49" s="3" t="s">
        <v>68</v>
      </c>
      <c r="L49" s="3"/>
      <c r="M49" s="3"/>
      <c r="N49" s="3"/>
      <c r="O49" s="3"/>
      <c r="P49" s="5" t="s">
        <v>32</v>
      </c>
    </row>
    <row r="50" customFormat="false" ht="34.5" hidden="false" customHeight="true" outlineLevel="0" collapsed="false">
      <c r="A50" s="3" t="s">
        <v>16</v>
      </c>
      <c r="B50" s="3" t="s">
        <v>255</v>
      </c>
      <c r="C50" s="4" t="s">
        <v>18</v>
      </c>
      <c r="D50" s="4" t="s">
        <v>19</v>
      </c>
      <c r="E50" s="4" t="s">
        <v>20</v>
      </c>
      <c r="F50" s="4" t="s">
        <v>21</v>
      </c>
      <c r="G50" s="3"/>
      <c r="H50" s="3" t="s">
        <v>256</v>
      </c>
      <c r="I50" s="3" t="s">
        <v>257</v>
      </c>
      <c r="J50" s="3" t="s">
        <v>258</v>
      </c>
      <c r="K50" s="3" t="s">
        <v>259</v>
      </c>
      <c r="L50" s="3"/>
      <c r="M50" s="3"/>
      <c r="N50" s="3"/>
      <c r="O50" s="3"/>
      <c r="P50" s="5" t="s">
        <v>38</v>
      </c>
    </row>
    <row r="51" customFormat="false" ht="23.25" hidden="false" customHeight="true" outlineLevel="0" collapsed="false">
      <c r="A51" s="3" t="s">
        <v>16</v>
      </c>
      <c r="B51" s="3" t="s">
        <v>260</v>
      </c>
      <c r="C51" s="4" t="s">
        <v>18</v>
      </c>
      <c r="D51" s="4" t="s">
        <v>19</v>
      </c>
      <c r="E51" s="4" t="s">
        <v>20</v>
      </c>
      <c r="F51" s="4" t="s">
        <v>21</v>
      </c>
      <c r="G51" s="3"/>
      <c r="H51" s="3" t="s">
        <v>261</v>
      </c>
      <c r="I51" s="3" t="s">
        <v>262</v>
      </c>
      <c r="J51" s="3" t="s">
        <v>263</v>
      </c>
      <c r="K51" s="3" t="s">
        <v>264</v>
      </c>
      <c r="L51" s="3"/>
      <c r="M51" s="3"/>
      <c r="N51" s="3"/>
      <c r="O51" s="3"/>
      <c r="P51" s="5" t="s">
        <v>38</v>
      </c>
    </row>
  </sheetData>
  <autoFilter ref="A1:P51"/>
  <dataValidations count="4">
    <dataValidation allowBlank="true" errorStyle="stop" operator="between" showDropDown="false" showErrorMessage="false" showInputMessage="false" sqref="C2:C1000" type="list">
      <formula1>"Lý thuyết,Bài tập"</formula1>
      <formula2>0</formula2>
    </dataValidation>
    <dataValidation allowBlank="true" errorStyle="stop" operator="between" showDropDown="false" showErrorMessage="false" showInputMessage="false" sqref="D2:D1000" type="list">
      <formula1>"Dễ,Trung bình,Khó"</formula1>
      <formula2>0</formula2>
    </dataValidation>
    <dataValidation allowBlank="true" errorStyle="stop" operator="between" showDropDown="false" showErrorMessage="false" showInputMessage="false" sqref="E2:E1000" type="list">
      <formula1>"Chọn 1,Chọn nhiều"</formula1>
      <formula2>0</formula2>
    </dataValidation>
    <dataValidation allowBlank="true" errorStyle="stop" operator="between" showDropDown="false" showErrorMessage="false" showInputMessage="false" sqref="F2:F1000" type="list">
      <formula1>"Chung,Riêng"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95"/>
  </cols>
  <sheetData>
    <row r="1" customFormat="false" ht="15" hidden="false" customHeight="true" outlineLevel="0" collapsed="false">
      <c r="A1" s="6" t="s">
        <v>265</v>
      </c>
      <c r="B1" s="6" t="s">
        <v>266</v>
      </c>
    </row>
    <row r="2" customFormat="false" ht="15" hidden="false" customHeight="true" outlineLevel="0" collapsed="false">
      <c r="A2" s="7" t="s">
        <v>0</v>
      </c>
      <c r="B2" s="7" t="s">
        <v>267</v>
      </c>
    </row>
    <row r="3" customFormat="false" ht="15" hidden="false" customHeight="true" outlineLevel="0" collapsed="false">
      <c r="A3" s="7" t="s">
        <v>1</v>
      </c>
      <c r="B3" s="7" t="s">
        <v>268</v>
      </c>
    </row>
    <row r="4" customFormat="false" ht="15" hidden="false" customHeight="true" outlineLevel="0" collapsed="false">
      <c r="A4" s="7" t="s">
        <v>2</v>
      </c>
      <c r="B4" s="7" t="s">
        <v>269</v>
      </c>
    </row>
    <row r="5" customFormat="false" ht="15" hidden="false" customHeight="true" outlineLevel="0" collapsed="false">
      <c r="A5" s="7" t="s">
        <v>3</v>
      </c>
      <c r="B5" s="7" t="s">
        <v>270</v>
      </c>
    </row>
    <row r="6" customFormat="false" ht="15" hidden="false" customHeight="true" outlineLevel="0" collapsed="false">
      <c r="A6" s="7" t="s">
        <v>4</v>
      </c>
      <c r="B6" s="7" t="s">
        <v>271</v>
      </c>
    </row>
    <row r="7" customFormat="false" ht="15" hidden="false" customHeight="true" outlineLevel="0" collapsed="false">
      <c r="A7" s="7" t="s">
        <v>5</v>
      </c>
      <c r="B7" s="7" t="s">
        <v>272</v>
      </c>
    </row>
    <row r="8" customFormat="false" ht="23.25" hidden="false" customHeight="true" outlineLevel="0" collapsed="false">
      <c r="A8" s="7" t="s">
        <v>6</v>
      </c>
      <c r="B8" s="7" t="s">
        <v>273</v>
      </c>
    </row>
    <row r="9" customFormat="false" ht="15" hidden="false" customHeight="true" outlineLevel="0" collapsed="false">
      <c r="A9" s="7" t="s">
        <v>274</v>
      </c>
      <c r="B9" s="7" t="s">
        <v>275</v>
      </c>
    </row>
    <row r="10" customFormat="false" ht="15" hidden="false" customHeight="true" outlineLevel="0" collapsed="false">
      <c r="A10" s="7" t="s">
        <v>15</v>
      </c>
      <c r="B10" s="7" t="s">
        <v>276</v>
      </c>
    </row>
    <row r="11" customFormat="false" ht="15" hidden="false" customHeight="true" outlineLevel="0" collapsed="false">
      <c r="A11" s="7"/>
      <c r="B11" s="7"/>
    </row>
    <row r="12" customFormat="false" ht="15" hidden="false" customHeight="true" outlineLevel="0" collapsed="false">
      <c r="A12" s="8" t="s">
        <v>277</v>
      </c>
      <c r="B12" s="7"/>
    </row>
    <row r="13" customFormat="false" ht="15" hidden="false" customHeight="true" outlineLevel="0" collapsed="false">
      <c r="A13" s="8" t="s">
        <v>278</v>
      </c>
      <c r="B13" s="7" t="n">
        <f aca="false">COUNTA(CauHoi!B2:B1000)</f>
        <v>50</v>
      </c>
    </row>
    <row r="14" customFormat="false" ht="15" hidden="false" customHeight="true" outlineLevel="0" collapsed="false">
      <c r="A14" s="8" t="s">
        <v>279</v>
      </c>
      <c r="B14" s="7" t="n">
        <f aca="false">COUNTIF(CauHoi!F2:F1000,"Chung")</f>
        <v>50</v>
      </c>
    </row>
    <row r="15" customFormat="false" ht="15" hidden="false" customHeight="true" outlineLevel="0" collapsed="false">
      <c r="A15" s="8" t="s">
        <v>280</v>
      </c>
      <c r="B15" s="7" t="n">
        <f aca="false">COUNTIF(CauHoi!F2:F1000,"Riêng")</f>
        <v>0</v>
      </c>
    </row>
    <row r="16" customFormat="false" ht="15" hidden="false" customHeight="true" outlineLevel="0" collapsed="false">
      <c r="A16" s="8" t="s">
        <v>281</v>
      </c>
      <c r="B16" s="7" t="n">
        <f aca="false">SUMPRODUCT((CauHoi!G2:G1000&lt;&gt;"")/COUNTIF(CauHoi!G2:G1000,CauHoi!G2:G1000&amp;""))</f>
        <v>0</v>
      </c>
    </row>
    <row r="17" customFormat="false" ht="15" hidden="false" customHeight="true" outlineLevel="0" collapsed="false">
      <c r="A17" s="8" t="s">
        <v>282</v>
      </c>
      <c r="B17" s="7" t="n">
        <f aca="false">COUNTIF(CauHoi!D2:D1000,"Dễ")</f>
        <v>23</v>
      </c>
    </row>
    <row r="18" customFormat="false" ht="15" hidden="false" customHeight="true" outlineLevel="0" collapsed="false">
      <c r="A18" s="8" t="s">
        <v>283</v>
      </c>
      <c r="B18" s="7" t="n">
        <f aca="false">COUNTIF(CauHoi!D2:D1000,"Trung bình")</f>
        <v>18</v>
      </c>
    </row>
    <row r="19" customFormat="false" ht="15" hidden="false" customHeight="true" outlineLevel="0" collapsed="false">
      <c r="A19" s="8" t="s">
        <v>284</v>
      </c>
      <c r="B19" s="7" t="n">
        <f aca="false">COUNTIF(CauHoi!D2:D1000,"Khó")</f>
        <v>9</v>
      </c>
    </row>
    <row r="20" customFormat="false" ht="15" hidden="false" customHeight="true" outlineLevel="0" collapsed="false">
      <c r="A20" s="8" t="s">
        <v>285</v>
      </c>
      <c r="B20" s="7" t="n">
        <f aca="false">COUNTIF(CauHoi!E2:E1000,"Chọn nhiều")</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2026-09-28T05:55:15Z</dcterms:created>
  <dc:creator>openpyxl</dc:creator>
  <dc:description/>
  <dc:language>en-US</dc:language>
  <cp:lastModifiedBy/>
  <dcterms:modified xsi:type="dcterms:W3CDTF">2026-10-05T03:11:33Z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