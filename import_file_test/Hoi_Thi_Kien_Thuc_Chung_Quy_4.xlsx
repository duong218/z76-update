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uHoi" sheetId="1" state="visible" r:id="rId3"/>
    <sheet name="HuongDan" sheetId="2" state="visible" r:id="rId4"/>
  </sheets>
  <definedNames>
    <definedName function="false" hidden="true" localSheetId="0" name="_xlnm._FilterDatabase" vbProcedure="false">CauHoi!$A$1:$P$61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<sst xmlns="http://schemas.openxmlformats.org/spreadsheetml/2006/main" count="627" uniqueCount="324">
  <si>
    <t xml:space="preserve">Chủ đề</t>
  </si>
  <si>
    <t xml:space="preserve">Nội dung</t>
  </si>
  <si>
    <t xml:space="preserve">Loại</t>
  </si>
  <si>
    <t xml:space="preserve">Độ khó</t>
  </si>
  <si>
    <t xml:space="preserve">Đáp án</t>
  </si>
  <si>
    <t xml:space="preserve">Phạm vi</t>
  </si>
  <si>
    <t xml:space="preserve">Bộ phận</t>
  </si>
  <si>
    <t xml:space="preserve">Lựa chọn 1</t>
  </si>
  <si>
    <t xml:space="preserve">Lựa chọn 2</t>
  </si>
  <si>
    <t xml:space="preserve">Lựa chọn 3</t>
  </si>
  <si>
    <t xml:space="preserve">Lựa chọn 4</t>
  </si>
  <si>
    <t xml:space="preserve">Lựa chọn 5</t>
  </si>
  <si>
    <t xml:space="preserve">Lựa chọn 6</t>
  </si>
  <si>
    <t xml:space="preserve">Lựa chọn 7</t>
  </si>
  <si>
    <t xml:space="preserve">Lựa chọn 8</t>
  </si>
  <si>
    <t xml:space="preserve">Đáp án đúng</t>
  </si>
  <si>
    <t xml:space="preserve">Hội thi kiến thức chung quý 4</t>
  </si>
  <si>
    <t xml:space="preserve">Văn hóa doanh nghiệp là gì?</t>
  </si>
  <si>
    <t xml:space="preserve">Lý thuyết</t>
  </si>
  <si>
    <t xml:space="preserve">Dễ</t>
  </si>
  <si>
    <t xml:space="preserve">Chọn 1</t>
  </si>
  <si>
    <t xml:space="preserve">Chung</t>
  </si>
  <si>
    <t xml:space="preserve">Bộ quy định xử phạt kỷ luật nhân viên</t>
  </si>
  <si>
    <t xml:space="preserve">Danh sách các sự kiện tổ chức trong năm</t>
  </si>
  <si>
    <t xml:space="preserve">Chỉ là logo và đồng phục của công ty</t>
  </si>
  <si>
    <t xml:space="preserve">Hệ thống giá trị, chuẩn mực và cách ứng xử chung được các thành viên trong tổ chức chia sẻ</t>
  </si>
  <si>
    <t xml:space="preserve">4</t>
  </si>
  <si>
    <t xml:space="preserve">Khi xảy ra hỏa hoạn tại Việt Nam, số điện thoại nào dùng để gọi lực lượng cứu hỏa, cứu nạn cứu hộ?</t>
  </si>
  <si>
    <t xml:space="preserve">114</t>
  </si>
  <si>
    <t xml:space="preserve">116</t>
  </si>
  <si>
    <t xml:space="preserve">115</t>
  </si>
  <si>
    <t xml:space="preserve">113</t>
  </si>
  <si>
    <t xml:space="preserve">1</t>
  </si>
  <si>
    <t xml:space="preserve">Những cặp số điện thoại khẩn cấp và chức năng nào sau đây là đúng?</t>
  </si>
  <si>
    <t xml:space="preserve">Trung bình</t>
  </si>
  <si>
    <t xml:space="preserve">Chọn nhiều</t>
  </si>
  <si>
    <t xml:space="preserve">113 – Công an</t>
  </si>
  <si>
    <t xml:space="preserve">114 – Cứu hỏa, cứu nạn cứu hộ</t>
  </si>
  <si>
    <t xml:space="preserve">115 – Cấp cứu y tế</t>
  </si>
  <si>
    <t xml:space="preserve">114 – Công an</t>
  </si>
  <si>
    <t xml:space="preserve">113 – Cấp cứu y tế</t>
  </si>
  <si>
    <t xml:space="preserve">1,2,3</t>
  </si>
  <si>
    <t xml:space="preserve">Phát hiện đám cháy nhỏ ở khu vực làm việc, việc cần làm đầu tiên là gì?</t>
  </si>
  <si>
    <t xml:space="preserve">Bài tập</t>
  </si>
  <si>
    <t xml:space="preserve">Mở hết cửa sổ cho khói thoát ra rồi tiếp tục làm việc</t>
  </si>
  <si>
    <t xml:space="preserve">Bỏ chạy ra ngoài mà không báo cho ai</t>
  </si>
  <si>
    <t xml:space="preserve">Hô to báo cho mọi người, kích hoạt báo cháy, dùng phương tiện chữa cháy tại chỗ nếu an toàn và gọi 114</t>
  </si>
  <si>
    <t xml:space="preserve">Im lặng tự xử lý để tránh làm ồn</t>
  </si>
  <si>
    <t xml:space="preserve">3</t>
  </si>
  <si>
    <t xml:space="preserve">Khi có cháy trong tòa nhà nhiều tầng, nên thoát hiểm bằng cách nào?</t>
  </si>
  <si>
    <t xml:space="preserve">Ở yên trong phòng và đóng kín cửa chờ hết cháy</t>
  </si>
  <si>
    <t xml:space="preserve">Quay lại lấy đồ đạc cá nhân rồi mới thoát ra</t>
  </si>
  <si>
    <t xml:space="preserve">Đi thang máy cho nhanh</t>
  </si>
  <si>
    <t xml:space="preserve">Đi thang bộ thoát hiểm, không sử dụng thang máy</t>
  </si>
  <si>
    <t xml:space="preserve">Theo Bộ luật Lao động 2019, người lao động làm việc theo hợp đồng không xác định thời hạn muốn đơn phương chấm dứt hợp đồng phải báo trước ít nhất bao nhiêu ngày?</t>
  </si>
  <si>
    <t xml:space="preserve">30 ngày</t>
  </si>
  <si>
    <t xml:space="preserve">15 ngày</t>
  </si>
  <si>
    <t xml:space="preserve">45 ngày</t>
  </si>
  <si>
    <t xml:space="preserve">60 ngày</t>
  </si>
  <si>
    <t xml:space="preserve">Theo Bộ luật Lao động 2019, thời gian thử việc tối đa đối với công việc có chức danh nghề cần trình độ chuyên môn kỹ thuật từ cao đẳng trở lên là bao nhiêu?</t>
  </si>
  <si>
    <t xml:space="preserve">Khó</t>
  </si>
  <si>
    <t xml:space="preserve">Không quá 180 ngày</t>
  </si>
  <si>
    <t xml:space="preserve">Không quá 30 ngày</t>
  </si>
  <si>
    <t xml:space="preserve">Không quá 60 ngày</t>
  </si>
  <si>
    <t xml:space="preserve">Không quá 90 ngày</t>
  </si>
  <si>
    <t xml:space="preserve">Người lao động làm việc đủ 12 tháng trong điều kiện bình thường được nghỉ hằng năm hưởng nguyên lương bao nhiêu ngày?</t>
  </si>
  <si>
    <t xml:space="preserve">12 ngày làm việc</t>
  </si>
  <si>
    <t xml:space="preserve">16 ngày làm việc</t>
  </si>
  <si>
    <t xml:space="preserve">10 ngày làm việc</t>
  </si>
  <si>
    <t xml:space="preserve">14 ngày làm việc</t>
  </si>
  <si>
    <t xml:space="preserve">Những hành vi nào thể hiện tinh thần làm việc nhóm tốt?</t>
  </si>
  <si>
    <t xml:space="preserve">Đổ lỗi cho người khác khi công việc gặp vấn đề</t>
  </si>
  <si>
    <t xml:space="preserve">Hỗ trợ đồng nghiệp khi họ gặp khó khăn</t>
  </si>
  <si>
    <t xml:space="preserve">Ghi nhận đóng góp của các thành viên trong nhóm</t>
  </si>
  <si>
    <t xml:space="preserve">Chia sẻ thông tin và kinh nghiệm với đồng nghiệp</t>
  </si>
  <si>
    <t xml:space="preserve">Giữ kinh nghiệm riêng để không ai vượt mặt mình</t>
  </si>
  <si>
    <t xml:space="preserve">2,3,4</t>
  </si>
  <si>
    <t xml:space="preserve">Khi viết email công việc, những nguyên tắc nào sau đây là phù hợp?</t>
  </si>
  <si>
    <t xml:space="preserve">Luôn bấm trả lời tất cả (reply all) dù không liên quan</t>
  </si>
  <si>
    <t xml:space="preserve">Viết hoa toàn bộ chữ để nhấn mạnh</t>
  </si>
  <si>
    <t xml:space="preserve">Nội dung ngắn gọn, đúng chính tả, nêu rõ việc cần làm và thời hạn</t>
  </si>
  <si>
    <t xml:space="preserve">Chỉ gửi cho những người liên quan</t>
  </si>
  <si>
    <t xml:space="preserve">Tiêu đề rõ ràng, phản ánh đúng nội dung</t>
  </si>
  <si>
    <t xml:space="preserve">3,4,5</t>
  </si>
  <si>
    <t xml:space="preserve">Ma trận Eisenhower dùng để phân loại công việc dựa trên hai tiêu chí nào?</t>
  </si>
  <si>
    <t xml:space="preserve">Mức độ khẩn cấp và mức độ quan trọng</t>
  </si>
  <si>
    <t xml:space="preserve">Thời điểm bắt đầu và thời điểm kết thúc</t>
  </si>
  <si>
    <t xml:space="preserve">Thâm niên và chức vụ của người thực hiện</t>
  </si>
  <si>
    <t xml:space="preserve">Số người tham gia và chi phí thực hiện</t>
  </si>
  <si>
    <t xml:space="preserve">Trong phương pháp 5S, bước "Sàng lọc" (Seiri) có ý nghĩa gì?</t>
  </si>
  <si>
    <t xml:space="preserve">Duy trì thói quen tuân thủ quy định</t>
  </si>
  <si>
    <t xml:space="preserve">Sắp xếp đồ vật theo thứ tự thuận tiện nhất</t>
  </si>
  <si>
    <t xml:space="preserve">Vệ sinh sạch sẽ nơi làm việc hằng ngày</t>
  </si>
  <si>
    <t xml:space="preserve">Phân loại và loại bỏ những thứ không cần thiết khỏi nơi làm việc</t>
  </si>
  <si>
    <t xml:space="preserve">Chu trình PDCA trong quản lý và cải tiến công việc gồm các bước nào?</t>
  </si>
  <si>
    <t xml:space="preserve">Lập kế hoạch – Thực hiện – Kiểm tra – Hành động khắc phục, cải tiến</t>
  </si>
  <si>
    <t xml:space="preserve">Lập kế hoạch – Báo cáo – Kiểm tra – Kết thúc</t>
  </si>
  <si>
    <t xml:space="preserve">Thực hiện – Lập kế hoạch – Báo cáo – Dừng lại</t>
  </si>
  <si>
    <t xml:space="preserve">Phân tích – Quyết định – Chốt – Archive</t>
  </si>
  <si>
    <t xml:space="preserve">Hành vi nào sau đây giúp bảo vệ thông tin của công ty?</t>
  </si>
  <si>
    <t xml:space="preserve">Dùng chung một mật khẩu cho tất cả tài khoản cho dễ nhớ</t>
  </si>
  <si>
    <t xml:space="preserve">Không chia sẻ mật khẩu cá nhân cho người khác</t>
  </si>
  <si>
    <t xml:space="preserve">Chỉ gửi tài liệu nội bộ cho những người có thẩm quyền nhận</t>
  </si>
  <si>
    <t xml:space="preserve">Đăng tài liệu nội bộ lên mạng xã hội để lấy ý kiến</t>
  </si>
  <si>
    <t xml:space="preserve">Khóa màn hình máy tính khi rời khỏi chỗ ngồi</t>
  </si>
  <si>
    <t xml:space="preserve">2,3,5</t>
  </si>
  <si>
    <t xml:space="preserve">Bạn nhận được email lạ yêu cầu bấm vào đường dẫn để "xác minh tài khoản" kèm mật khẩu. Cách xử lý phù hợp là gì?</t>
  </si>
  <si>
    <t xml:space="preserve">Chuyển tiếp email cho toàn bộ đồng nghiệp</t>
  </si>
  <si>
    <t xml:space="preserve">Điền mật khẩu để tài khoản không bị khóa</t>
  </si>
  <si>
    <t xml:space="preserve">Bấm vào đường dẫn để xem thử có thật không</t>
  </si>
  <si>
    <t xml:space="preserve">Không bấm vào đường dẫn, không cung cấp mật khẩu và báo cho bộ phận phụ trách</t>
  </si>
  <si>
    <t xml:space="preserve">Theo Bộ luật Lao động 2019, hợp đồng lao động có thời hạn từ bao lâu trở lên phải được giao kết bằng văn bản?</t>
  </si>
  <si>
    <t xml:space="preserve">Từ 01 tháng trở lên</t>
  </si>
  <si>
    <t xml:space="preserve">Từ 03 tháng trở lên</t>
  </si>
  <si>
    <t xml:space="preserve">Từ 06 tháng trở lên</t>
  </si>
  <si>
    <t xml:space="preserve">Từ 12 tháng trở lên</t>
  </si>
  <si>
    <t xml:space="preserve">Những loại bảo hiểm nào sau đây là bảo hiểm bắt buộc đối với người lao động có hợp đồng lao động theo quy định?</t>
  </si>
  <si>
    <t xml:space="preserve">Bảo hiểm y tế</t>
  </si>
  <si>
    <t xml:space="preserve">Bảo hiểm xã hội</t>
  </si>
  <si>
    <t xml:space="preserve">Bảo hiểm thất nghiệp</t>
  </si>
  <si>
    <t xml:space="preserve">Bảo hiểm du lịch</t>
  </si>
  <si>
    <t xml:space="preserve">Bảo hiểm nhân thọ</t>
  </si>
  <si>
    <t xml:space="preserve">Ngày Quốc khánh của nước Cộng hòa xã hội chủ nghĩa Việt Nam là ngày nào?</t>
  </si>
  <si>
    <t xml:space="preserve">19/8</t>
  </si>
  <si>
    <t xml:space="preserve">01/5</t>
  </si>
  <si>
    <t xml:space="preserve">02/9</t>
  </si>
  <si>
    <t xml:space="preserve">30/4</t>
  </si>
  <si>
    <t xml:space="preserve">Ngày Quốc tế Lao động là ngày nào hằng năm?</t>
  </si>
  <si>
    <t xml:space="preserve">20/11</t>
  </si>
  <si>
    <t xml:space="preserve">08/3</t>
  </si>
  <si>
    <t xml:space="preserve">20/10</t>
  </si>
  <si>
    <t xml:space="preserve">Bạn bất đồng ý kiến với đồng nghiệp về cách thực hiện một công việc chung. Cách giải quyết nào là phù hợp?</t>
  </si>
  <si>
    <t xml:space="preserve">Nói xấu đồng nghiệp với những người khác</t>
  </si>
  <si>
    <t xml:space="preserve">Tránh mặt và không trao đổi nữa</t>
  </si>
  <si>
    <t xml:space="preserve">Trao đổi thẳng thắn, lắng nghe nhau và tập trung vào vấn đề thay vì con người</t>
  </si>
  <si>
    <t xml:space="preserve">Tự làm theo ý mình mà không thông báo</t>
  </si>
  <si>
    <t xml:space="preserve">Đồng nghiệp bị chảy máu ngoài ở cánh tay do vết cắt. Biện pháp sơ cứu ban đầu đúng là gì?</t>
  </si>
  <si>
    <t xml:space="preserve">Buộc dây thật chặt rồi để nguyên nhiều giờ</t>
  </si>
  <si>
    <t xml:space="preserve">Rửa vết thương bằng cồn đậm đặc rồi để hở</t>
  </si>
  <si>
    <t xml:space="preserve">Dùng gạc hoặc vải sạch ép trực tiếp lên vết thương và nâng cao chi bị thương</t>
  </si>
  <si>
    <t xml:space="preserve">Rắc bột lạ lên vết thương</t>
  </si>
  <si>
    <t xml:space="preserve">Một người bị bỏng nhiệt nhẹ ở tay do nước nóng. Cách sơ cứu đúng là gì?</t>
  </si>
  <si>
    <t xml:space="preserve">Làm mát vùng bỏng dưới vòi nước mát sạch chảy nhẹ khoảng 10–20 phút</t>
  </si>
  <si>
    <t xml:space="preserve">Bôi kem đánh răng hoặc nước mắm lên vết bỏng</t>
  </si>
  <si>
    <t xml:space="preserve">Chườm đá lạnh trực tiếp lên vùng bỏng</t>
  </si>
  <si>
    <t xml:space="preserve">Chọc vỡ bọng nước cho nhanh lành</t>
  </si>
  <si>
    <t xml:space="preserve">Khi thực hiện ép tim ngoài lồng ngực cho người ngừng tuần hoàn, tần số ép khuyến cáo là bao nhiêu?</t>
  </si>
  <si>
    <t xml:space="preserve">100–120 lần mỗi phút</t>
  </si>
  <si>
    <t xml:space="preserve">30–40 lần mỗi phút</t>
  </si>
  <si>
    <t xml:space="preserve">60–80 lần mỗi phút</t>
  </si>
  <si>
    <t xml:space="preserve">140–160 lần mỗi phút</t>
  </si>
  <si>
    <t xml:space="preserve">Để một cuộc họp diễn ra hiệu quả, nên thực hiện những việc nào?</t>
  </si>
  <si>
    <t xml:space="preserve">Xác định rõ mục tiêu và gửi chương trình họp trước</t>
  </si>
  <si>
    <t xml:space="preserve">Ghi biên bản và phân công người phụ trách, thời hạn từng việc</t>
  </si>
  <si>
    <t xml:space="preserve">Bắt đầu và kết thúc đúng giờ</t>
  </si>
  <si>
    <t xml:space="preserve">Kéo dài không giới hạn cho đến khi mọi người mệt</t>
  </si>
  <si>
    <t xml:space="preserve">Cho phép nói chuyện riêng thoải mái trong cuộc họp</t>
  </si>
  <si>
    <t xml:space="preserve">Những hành động nào góp phần tiết kiệm điện tại nơi làm việc?</t>
  </si>
  <si>
    <t xml:space="preserve">Mở cửa liên tục khi đang bật điều hòa</t>
  </si>
  <si>
    <t xml:space="preserve">Tắt đèn và thiết bị khi không sử dụng</t>
  </si>
  <si>
    <t xml:space="preserve">Để máy tính chạy suốt đêm dù không dùng</t>
  </si>
  <si>
    <t xml:space="preserve">Tận dụng ánh sáng tự nhiên khi có thể</t>
  </si>
  <si>
    <t xml:space="preserve">Đặt điều hòa ở mức nhiệt hợp lý (khoảng 26–27°C)</t>
  </si>
  <si>
    <t xml:space="preserve">2,4,5</t>
  </si>
  <si>
    <t xml:space="preserve">Pin đã qua sử dụng nên được xếp vào loại rác thải nào?</t>
  </si>
  <si>
    <t xml:space="preserve">Rác thải sinh hoạt thông thường</t>
  </si>
  <si>
    <t xml:space="preserve">Rác thải hữu cơ</t>
  </si>
  <si>
    <t xml:space="preserve">Rác thải thực phẩm</t>
  </si>
  <si>
    <t xml:space="preserve">Rác thải nguy hại, cần thu gom riêng</t>
  </si>
  <si>
    <t xml:space="preserve">Bạn được giao nhiệm vụ nhưng chưa hiểu rõ yêu cầu. Việc nên làm là gì?</t>
  </si>
  <si>
    <t xml:space="preserve">Để nguyên đó cho đến khi bị nhắc</t>
  </si>
  <si>
    <t xml:space="preserve">Hỏi lại người giao việc để làm rõ mục tiêu, thời hạn và kết quả mong đợi</t>
  </si>
  <si>
    <t xml:space="preserve">Tự đoán và làm theo cách hiểu của mình</t>
  </si>
  <si>
    <t xml:space="preserve">Giao lại cho đồng nghiệp mà không báo</t>
  </si>
  <si>
    <t xml:space="preserve">2</t>
  </si>
  <si>
    <t xml:space="preserve">Khách hàng phàn nàn gay gắt về chất lượng dịch vụ. Cách ứng xử nào là phù hợp nhất?</t>
  </si>
  <si>
    <t xml:space="preserve">Lắng nghe bình tĩnh, ghi nhận, đề xuất hướng xử lý và chuyển cấp có thẩm quyền nếu vượt quá quyền hạn</t>
  </si>
  <si>
    <t xml:space="preserve">Tranh luận để chứng minh khách hàng sai</t>
  </si>
  <si>
    <t xml:space="preserve">Từ chối tiếp chuyện và cúp máy</t>
  </si>
  <si>
    <t xml:space="preserve">Hứa mọi thứ cho khách yên rồi bỏ đó</t>
  </si>
  <si>
    <t xml:space="preserve">Theo Bộ luật Lao động 2019, quấy rối tình dục tại nơi làm việc được hiểu như thế nào?</t>
  </si>
  <si>
    <t xml:space="preserve">Hành vi mang tính tình dục của bất kỳ người nào đối với người khác tại nơi làm việc mà không được người đó mong muốn</t>
  </si>
  <si>
    <t xml:space="preserve">Chỉ là hành vi của cấp trên đối với cấp dưới</t>
  </si>
  <si>
    <t xml:space="preserve">Chỉ là hành vi có tiếp xúc cơ thể</t>
  </si>
  <si>
    <t xml:space="preserve">Là hành vi được cả hai bên đồng ý</t>
  </si>
  <si>
    <t xml:space="preserve">Một nhân viên phụ trách mua hàng giao hợp đồng cho công ty của người thân mà không khai báo với công ty. Hành vi này là gì?</t>
  </si>
  <si>
    <t xml:space="preserve">Hoàn toàn bình thường vì giá có thể tốt hơn</t>
  </si>
  <si>
    <t xml:space="preserve">Vi phạm quy định về xung đột lợi ích, cần khai báo và để cấp có thẩm quyền xem xét</t>
  </si>
  <si>
    <t xml:space="preserve">Được phép nếu người thân đồng ý giảm giá</t>
  </si>
  <si>
    <t xml:space="preserve">Chỉ vi phạm khi hợp đồng có giá trị trên một tỷ đồng</t>
  </si>
  <si>
    <t xml:space="preserve">Biển báo hình tròn, nền xanh dương, ký hiệu màu trắng thuộc loại biển nào?</t>
  </si>
  <si>
    <t xml:space="preserve">Riêng</t>
  </si>
  <si>
    <t xml:space="preserve">An toàn lao động</t>
  </si>
  <si>
    <t xml:space="preserve">Biển báo bắt buộc</t>
  </si>
  <si>
    <t xml:space="preserve">Biển chỉ dẫn thoát hiểm</t>
  </si>
  <si>
    <t xml:space="preserve">Biển báo cấm</t>
  </si>
  <si>
    <t xml:space="preserve">Biển báo cảnh báo nguy hiểm</t>
  </si>
  <si>
    <t xml:space="preserve">Công nhân sửa mái nhà xưởng ở độ cao 5 m. Biện pháp nào sau đây là đúng?</t>
  </si>
  <si>
    <t xml:space="preserve">Làm việc một mình, không cần ai biết</t>
  </si>
  <si>
    <t xml:space="preserve">Đi dép nhẹ cho linh hoạt</t>
  </si>
  <si>
    <t xml:space="preserve">Chỉ cần đội mũ vải, không cần dây an toàn</t>
  </si>
  <si>
    <t xml:space="preserve">Đeo dây đai an toàn toàn thân móc vào điểm neo chắc chắn và kiểm tra thang, giàn giáo trước khi lên</t>
  </si>
  <si>
    <t xml:space="preserve">Khi xảy ra tai nạn lao động, người lao động hoặc người chứng kiến cần làm những việc nào?</t>
  </si>
  <si>
    <t xml:space="preserve">Báo ngay cho người phụ trách</t>
  </si>
  <si>
    <t xml:space="preserve">Giữ nguyên hiện trường nếu không ảnh hưởng đến việc cứu người</t>
  </si>
  <si>
    <t xml:space="preserve">Giấu không báo để tránh ảnh hưởng thi đua</t>
  </si>
  <si>
    <t xml:space="preserve">Sơ cứu kịp thời và đưa nạn nhân đi cấp cứu</t>
  </si>
  <si>
    <t xml:space="preserve">Tự dọn dẹp hiện trường ngay để xóa dấu vết</t>
  </si>
  <si>
    <t xml:space="preserve">1,2,4</t>
  </si>
  <si>
    <t xml:space="preserve">Phát hiện thùng hóa chất bị rò rỉ trong kho, cách xử lý đúng là gì?</t>
  </si>
  <si>
    <t xml:space="preserve">Rời đi mà không báo ai</t>
  </si>
  <si>
    <t xml:space="preserve">Dùng nước xối mạnh cho mọi loại hóa chất</t>
  </si>
  <si>
    <t xml:space="preserve">Dùng tay không gom lại cho nhanh</t>
  </si>
  <si>
    <t xml:space="preserve">Báo ngay, cách ly khu vực, tra cứu phiếu an toàn hóa chất (SDS) và chỉ xử lý khi đã mặc đủ PPE phù hợp</t>
  </si>
  <si>
    <t xml:space="preserve">Bản mô tả công việc (JD) dùng để làm gì?</t>
  </si>
  <si>
    <t xml:space="preserve">Hành chính - Nhân sự</t>
  </si>
  <si>
    <t xml:space="preserve">Ghi lại nội dung cuộc họp giao ban</t>
  </si>
  <si>
    <t xml:space="preserve">Nêu rõ nhiệm vụ, trách nhiệm, quyền hạn và yêu cầu đối với một vị trí công việc</t>
  </si>
  <si>
    <t xml:space="preserve">Ghi nhận mức lương thực nhận của từng nhân viên</t>
  </si>
  <si>
    <t xml:space="preserve">Thống kê số ngày nghỉ phép trong năm</t>
  </si>
  <si>
    <t xml:space="preserve">Quy trình tuyển dụng thông thường diễn ra theo thứ tự nào?</t>
  </si>
  <si>
    <t xml:space="preserve">Xác định nhu cầu → Đăng tuyển, sàng lọc hồ sơ → Phỏng vấn, đánh giá → Thư mời nhận việc, ký hợp đồng → Hội nhập</t>
  </si>
  <si>
    <t xml:space="preserve">Đăng tuyển → Hội nhập → Phỏng vấn → Xác định nhu cầu</t>
  </si>
  <si>
    <t xml:space="preserve">Ký hợp đồng → Phỏng vấn → Sàng lọc hồ sơ → Xác định nhu cầu</t>
  </si>
  <si>
    <t xml:space="preserve">Phỏng vấn → Xác định nhu cầu → Ký hợp đồng → Đăng tuyển</t>
  </si>
  <si>
    <t xml:space="preserve">Nội quy lao động theo Bộ luật Lao động 2019 gồm những nội dung chủ yếu nào?</t>
  </si>
  <si>
    <t xml:space="preserve">Giá bán sản phẩm của công ty</t>
  </si>
  <si>
    <t xml:space="preserve">Hành vi vi phạm kỷ luật và hình thức xử lý kỷ luật lao động</t>
  </si>
  <si>
    <t xml:space="preserve">Thời giờ làm việc, thời giờ nghỉ ngơi</t>
  </si>
  <si>
    <t xml:space="preserve">Thông tin tài khoản ngân hàng cá nhân của từng nhân viên</t>
  </si>
  <si>
    <t xml:space="preserve">An toàn, vệ sinh lao động tại nơi làm việc</t>
  </si>
  <si>
    <t xml:space="preserve">Khi xử lý kỷ luật lao động đối với người lao động vi phạm, nguyên tắc nào sau đây là đúng?</t>
  </si>
  <si>
    <t xml:space="preserve">Có thể áp dụng đồng thời nhiều hình thức kỷ luật cho cùng một hành vi</t>
  </si>
  <si>
    <t xml:space="preserve">Được xử lý kỷ luật cả khi người lao động đang nghỉ ốm đau, điều dưỡng</t>
  </si>
  <si>
    <t xml:space="preserve">Trưởng bộ phận quyết định bằng lời, không cần biên bản</t>
  </si>
  <si>
    <t xml:space="preserve">Phải chứng minh được lỗi, có sự tham gia của người lao động và đại diện tổ chức đại diện người lao động, mỗi hành vi chỉ xử lý một hình thức kỷ luật</t>
  </si>
  <si>
    <t xml:space="preserve">Tài khoản 112 trong hệ thống tài khoản kế toán dùng để phản ánh loại tài sản nào?</t>
  </si>
  <si>
    <t xml:space="preserve">Kế toán</t>
  </si>
  <si>
    <t xml:space="preserve">Hàng hóa tồn kho</t>
  </si>
  <si>
    <t xml:space="preserve">Phải thu của khách hàng</t>
  </si>
  <si>
    <t xml:space="preserve">Tiền gửi ngân hàng</t>
  </si>
  <si>
    <t xml:space="preserve">Tiền mặt tại quỹ</t>
  </si>
  <si>
    <t xml:space="preserve">Mua hàng hóa nhập kho nhưng chưa trả tiền cho người bán (bỏ qua thuế GTGT). Định khoản nào là đúng?</t>
  </si>
  <si>
    <t xml:space="preserve">Nợ TK 111 – Có TK 156</t>
  </si>
  <si>
    <t xml:space="preserve">Nợ TK 331 – Có TK 156</t>
  </si>
  <si>
    <t xml:space="preserve">Nợ TK 156 – Có TK 111</t>
  </si>
  <si>
    <t xml:space="preserve">Nợ TK 156 – Có TK 331</t>
  </si>
  <si>
    <t xml:space="preserve">Theo Luật Kế toán, những yêu cầu nào sau đây đúng với thông tin, số liệu kế toán?</t>
  </si>
  <si>
    <t xml:space="preserve">Được bỏ qua các nghiệp vụ nhỏ cho gọn sổ</t>
  </si>
  <si>
    <t xml:space="preserve">Ghi theo ý kiến chủ quan của lãnh đạo</t>
  </si>
  <si>
    <t xml:space="preserve">Phản ánh trung thực, khách quan</t>
  </si>
  <si>
    <t xml:space="preserve">Đầy đủ và kịp thời</t>
  </si>
  <si>
    <t xml:space="preserve">Dễ hiểu, có thể so sánh và kiểm chứng</t>
  </si>
  <si>
    <t xml:space="preserve">Tài sản cố định có nguyên giá 150 triệu đồng, giá trị thanh lý ước tính 30 triệu đồng, thời gian sử dụng 5 năm, khấu hao đường thẳng. Mức khấu hao mỗi tháng là bao nhiêu?</t>
  </si>
  <si>
    <t xml:space="preserve">2,5 triệu đồng</t>
  </si>
  <si>
    <t xml:space="preserve">2,0 triệu đồng</t>
  </si>
  <si>
    <t xml:space="preserve">1,5 triệu đồng</t>
  </si>
  <si>
    <t xml:space="preserve">24 triệu đồng</t>
  </si>
  <si>
    <t xml:space="preserve">Đơn vị đo áp suất trong hệ SI là gì?</t>
  </si>
  <si>
    <t xml:space="preserve">Kỹ thuật cơ khí</t>
  </si>
  <si>
    <t xml:space="preserve">Joule (J)</t>
  </si>
  <si>
    <t xml:space="preserve">Pascal (Pa)</t>
  </si>
  <si>
    <t xml:space="preserve">Watt (W)</t>
  </si>
  <si>
    <t xml:space="preserve">Newton (N)</t>
  </si>
  <si>
    <t xml:space="preserve">Ổ lăn (vòng bi) của máy nóng bất thường và kêu to khi chạy. Cách xử lý phù hợp là gì?</t>
  </si>
  <si>
    <t xml:space="preserve">Tăng tải cho ổ lăn tự mài khớp</t>
  </si>
  <si>
    <t xml:space="preserve">Coi là bình thường và tiếp tục chạy</t>
  </si>
  <si>
    <t xml:space="preserve">Dừng máy kiểm tra: có thể do thiếu hoặc sai chất bôi trơn, lệch tâm trục hoặc ổ lăn đã mòn hỏng</t>
  </si>
  <si>
    <t xml:space="preserve">Chờ thời tiết mát hơn là hết</t>
  </si>
  <si>
    <t xml:space="preserve">Biện pháp an toàn nào đúng khi sử dụng máy mài cầm tay?</t>
  </si>
  <si>
    <t xml:space="preserve">Đeo kính bảo hộ</t>
  </si>
  <si>
    <t xml:space="preserve">Tháo nắp che chắn cho dễ cắt</t>
  </si>
  <si>
    <t xml:space="preserve">Dùng đá mài phù hợp với tốc độ của máy</t>
  </si>
  <si>
    <t xml:space="preserve">Dùng tiếp đá mài đã nứt vì vẫn còn dùng được</t>
  </si>
  <si>
    <t xml:space="preserve">Kiểm tra đá mài không nứt, vỡ trước khi dùng</t>
  </si>
  <si>
    <t xml:space="preserve">1,3,5</t>
  </si>
  <si>
    <t xml:space="preserve">Bản vẽ yêu cầu trục Ø50 với sai lệch giới hạn +0,02 / –0,01 mm. Kích thước đo thực tế là 50,03 mm. Đánh giá nào đúng?</t>
  </si>
  <si>
    <t xml:space="preserve">Không đạt vì thấp hơn kích thước giới hạn dưới 49,99 mm</t>
  </si>
  <si>
    <t xml:space="preserve">Không đạt vì vượt kích thước giới hạn trên 50,02 mm</t>
  </si>
  <si>
    <t xml:space="preserve">Đạt vì chênh lệch rất nhỏ</t>
  </si>
  <si>
    <t xml:space="preserve">Không xác định được vì thiếu dung sai</t>
  </si>
  <si>
    <t xml:space="preserve">Thẻ kho dùng để làm gì?</t>
  </si>
  <si>
    <t xml:space="preserve">Vật tư sản xuất</t>
  </si>
  <si>
    <t xml:space="preserve">Ghi biên bản họp giao ban</t>
  </si>
  <si>
    <t xml:space="preserve">Ghi chép tình hình nhập, xuất, tồn kho của từng loại vật tư</t>
  </si>
  <si>
    <t xml:space="preserve">Ghi lương của nhân viên kho</t>
  </si>
  <si>
    <t xml:space="preserve">Ghi nhận giờ làm việc của thủ kho</t>
  </si>
  <si>
    <t xml:space="preserve">Tồn đầu kỳ 100 kg giá 10.000 đ/kg, nhập trong kỳ 100 kg giá 12.000 đ/kg. Theo phương pháp bình quân gia quyền cuối kỳ, đơn giá xuất kho là bao nhiêu?</t>
  </si>
  <si>
    <t xml:space="preserve">12.000 đ/kg</t>
  </si>
  <si>
    <t xml:space="preserve">11.500 đ/kg</t>
  </si>
  <si>
    <t xml:space="preserve">10.000 đ/kg</t>
  </si>
  <si>
    <t xml:space="preserve">11.000 đ/kg</t>
  </si>
  <si>
    <t xml:space="preserve">Yêu cầu nào đúng khi bảo quản vật tư trong kho?</t>
  </si>
  <si>
    <t xml:space="preserve">Để chung hóa chất với nguyên liệu thực phẩm</t>
  </si>
  <si>
    <t xml:space="preserve">Tách riêng vật tư dễ cháy nổ, hóa chất</t>
  </si>
  <si>
    <t xml:space="preserve">Chất vật tư chắn lối thoát hiểm cho gọn kho</t>
  </si>
  <si>
    <t xml:space="preserve">Kê cao, tránh ẩm ướt</t>
  </si>
  <si>
    <t xml:space="preserve">Sắp xếp theo chủng loại, có nhãn mác rõ ràng</t>
  </si>
  <si>
    <t xml:space="preserve">Mức tiêu thụ 20 đơn vị/ngày, thời gian giao hàng 5 ngày, tồn kho an toàn 30 đơn vị. Điểm đặt hàng lại là bao nhiêu?</t>
  </si>
  <si>
    <t xml:space="preserve">150 đơn vị</t>
  </si>
  <si>
    <t xml:space="preserve">100 đơn vị</t>
  </si>
  <si>
    <t xml:space="preserve">30 đơn vị</t>
  </si>
  <si>
    <t xml:space="preserve">130 đơn vị</t>
  </si>
  <si>
    <t xml:space="preserve">Cột</t>
  </si>
  <si>
    <t xml:space="preserve">Giải thích</t>
  </si>
  <si>
    <t xml:space="preserve">Toàn bộ file dùng chung 1 chủ đề: "Hội thi kiến thức chung quý 4".</t>
  </si>
  <si>
    <t xml:space="preserve">Nội dung câu hỏi.</t>
  </si>
  <si>
    <t xml:space="preserve">Lý thuyết hoặc Bài tập.</t>
  </si>
  <si>
    <t xml:space="preserve">Dễ / Trung bình / Khó.</t>
  </si>
  <si>
    <t xml:space="preserve">Chọn 1 (single) hoặc Chọn nhiều (multiple).</t>
  </si>
  <si>
    <t xml:space="preserve">Chung (mọi bộ phận) hoặc Riêng (thuộc 1 bộ phận cụ thể).</t>
  </si>
  <si>
    <t xml:space="preserve">Bắt buộc nếu Phạm vi = Riêng. Phải là tên bộ phận ĐÃ TỒN TẠI trong hệ thống (đúng chính tả, kể cả chữ hoa/thường).</t>
  </si>
  <si>
    <t xml:space="preserve">Lựa chọn 1-8</t>
  </si>
  <si>
    <t xml:space="preserve">Nội dung các phương án trả lời.</t>
  </si>
  <si>
    <t xml:space="preserve">Số thứ tự phương án đúng, cách nhau dấu , hoặc ; (vd: 2 hoặc 1,3).</t>
  </si>
  <si>
    <t xml:space="preserve">Thống kê file này</t>
  </si>
  <si>
    <t xml:space="preserve">Tổng số câu</t>
  </si>
  <si>
    <t xml:space="preserve">Câu Chung</t>
  </si>
  <si>
    <t xml:space="preserve">Câu Riêng</t>
  </si>
  <si>
    <t xml:space="preserve">Số bộ phận có câu Riêng</t>
  </si>
  <si>
    <t xml:space="preserve">Câu Dễ</t>
  </si>
  <si>
    <t xml:space="preserve">Câu Trung bình</t>
  </si>
  <si>
    <t xml:space="preserve">Câu Khó</t>
  </si>
  <si>
    <t xml:space="preserve">Câu Chọn nhiều</t>
  </si>
</sst>
</file>

<file path=xl/styles.xml><?xml version="1.0" encoding="utf-8"?>
<styleSheet xmlns="http://schemas.openxmlformats.org/spreadsheetml/2006/main">
  <numFmts count="2">
    <numFmt numFmtId="164" formatCode="General"/>
    <numFmt numFmtId="165" formatCode="@"/>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1F4E79"/>
        <bgColor rgb="FF003366"/>
      </patternFill>
    </fill>
  </fills>
  <borders count="2">
    <border diagonalUp="false" diagonalDown="false">
      <left/>
      <right/>
      <top/>
      <bottom/>
      <diagonal/>
    </border>
    <border diagonalUp="false" diagonalDown="false">
      <left style="thin">
        <color rgb="FFBFC9D6"/>
      </left>
      <right style="thin">
        <color rgb="FFBFC9D6"/>
      </right>
      <top style="thin">
        <color rgb="FFBFC9D6"/>
      </top>
      <bottom style="thin">
        <color rgb="FFBFC9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9"/>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58"/>
    <col collapsed="false" customWidth="true" hidden="false" outlineLevel="0" max="3" min="3" style="1" width="11"/>
    <col collapsed="false" customWidth="true" hidden="false" outlineLevel="0" max="5" min="4" style="1" width="12"/>
    <col collapsed="false" customWidth="true" hidden="false" outlineLevel="0" max="6" min="6" style="1" width="9"/>
    <col collapsed="false" customWidth="true" hidden="false" outlineLevel="0" max="7" min="7" style="1" width="22"/>
    <col collapsed="false" customWidth="true" hidden="false" outlineLevel="0" max="15" min="8" style="1" width="34"/>
    <col collapsed="false" customWidth="true" hidden="false" outlineLevel="0" max="16" min="16" style="1" width="12"/>
  </cols>
  <sheetData>
    <row r="1" customFormat="false" ht="24"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34.5" hidden="false" customHeight="true" outlineLevel="0" collapsed="false">
      <c r="A2" s="3" t="s">
        <v>16</v>
      </c>
      <c r="B2" s="3" t="s">
        <v>17</v>
      </c>
      <c r="C2" s="4" t="s">
        <v>18</v>
      </c>
      <c r="D2" s="4" t="s">
        <v>19</v>
      </c>
      <c r="E2" s="4" t="s">
        <v>20</v>
      </c>
      <c r="F2" s="4" t="s">
        <v>21</v>
      </c>
      <c r="G2" s="3"/>
      <c r="H2" s="3" t="s">
        <v>22</v>
      </c>
      <c r="I2" s="3" t="s">
        <v>23</v>
      </c>
      <c r="J2" s="3" t="s">
        <v>24</v>
      </c>
      <c r="K2" s="3" t="s">
        <v>25</v>
      </c>
      <c r="L2" s="3"/>
      <c r="M2" s="3"/>
      <c r="N2" s="3"/>
      <c r="O2" s="3"/>
      <c r="P2" s="5" t="s">
        <v>26</v>
      </c>
    </row>
    <row r="3" customFormat="false" ht="23.25" hidden="false" customHeight="true" outlineLevel="0" collapsed="false">
      <c r="A3" s="3" t="s">
        <v>16</v>
      </c>
      <c r="B3" s="3" t="s">
        <v>27</v>
      </c>
      <c r="C3" s="4" t="s">
        <v>18</v>
      </c>
      <c r="D3" s="4" t="s">
        <v>19</v>
      </c>
      <c r="E3" s="4" t="s">
        <v>20</v>
      </c>
      <c r="F3" s="4" t="s">
        <v>21</v>
      </c>
      <c r="G3" s="3"/>
      <c r="H3" s="3" t="s">
        <v>28</v>
      </c>
      <c r="I3" s="3" t="s">
        <v>29</v>
      </c>
      <c r="J3" s="3" t="s">
        <v>30</v>
      </c>
      <c r="K3" s="3" t="s">
        <v>31</v>
      </c>
      <c r="L3" s="3"/>
      <c r="M3" s="3"/>
      <c r="N3" s="3"/>
      <c r="O3" s="3"/>
      <c r="P3" s="5" t="s">
        <v>32</v>
      </c>
    </row>
    <row r="4" customFormat="false" ht="15" hidden="false" customHeight="true" outlineLevel="0" collapsed="false">
      <c r="A4" s="3" t="s">
        <v>16</v>
      </c>
      <c r="B4" s="3" t="s">
        <v>33</v>
      </c>
      <c r="C4" s="4" t="s">
        <v>18</v>
      </c>
      <c r="D4" s="4" t="s">
        <v>34</v>
      </c>
      <c r="E4" s="4" t="s">
        <v>35</v>
      </c>
      <c r="F4" s="4" t="s">
        <v>21</v>
      </c>
      <c r="G4" s="3"/>
      <c r="H4" s="3" t="s">
        <v>36</v>
      </c>
      <c r="I4" s="3" t="s">
        <v>37</v>
      </c>
      <c r="J4" s="3" t="s">
        <v>38</v>
      </c>
      <c r="K4" s="3" t="s">
        <v>39</v>
      </c>
      <c r="L4" s="3" t="s">
        <v>40</v>
      </c>
      <c r="M4" s="3"/>
      <c r="N4" s="3"/>
      <c r="O4" s="3"/>
      <c r="P4" s="5" t="s">
        <v>41</v>
      </c>
    </row>
    <row r="5" customFormat="false" ht="23.25" hidden="false" customHeight="true" outlineLevel="0" collapsed="false">
      <c r="A5" s="3" t="s">
        <v>16</v>
      </c>
      <c r="B5" s="3" t="s">
        <v>42</v>
      </c>
      <c r="C5" s="4" t="s">
        <v>43</v>
      </c>
      <c r="D5" s="4" t="s">
        <v>34</v>
      </c>
      <c r="E5" s="4" t="s">
        <v>20</v>
      </c>
      <c r="F5" s="4" t="s">
        <v>21</v>
      </c>
      <c r="G5" s="3"/>
      <c r="H5" s="3" t="s">
        <v>44</v>
      </c>
      <c r="I5" s="3" t="s">
        <v>45</v>
      </c>
      <c r="J5" s="3" t="s">
        <v>46</v>
      </c>
      <c r="K5" s="3" t="s">
        <v>47</v>
      </c>
      <c r="L5" s="3"/>
      <c r="M5" s="3"/>
      <c r="N5" s="3"/>
      <c r="O5" s="3"/>
      <c r="P5" s="5" t="s">
        <v>48</v>
      </c>
    </row>
    <row r="6" customFormat="false" ht="23.25" hidden="false" customHeight="true" outlineLevel="0" collapsed="false">
      <c r="A6" s="3" t="s">
        <v>16</v>
      </c>
      <c r="B6" s="3" t="s">
        <v>49</v>
      </c>
      <c r="C6" s="4" t="s">
        <v>18</v>
      </c>
      <c r="D6" s="4" t="s">
        <v>19</v>
      </c>
      <c r="E6" s="4" t="s">
        <v>20</v>
      </c>
      <c r="F6" s="4" t="s">
        <v>21</v>
      </c>
      <c r="G6" s="3"/>
      <c r="H6" s="3" t="s">
        <v>50</v>
      </c>
      <c r="I6" s="3" t="s">
        <v>51</v>
      </c>
      <c r="J6" s="3" t="s">
        <v>52</v>
      </c>
      <c r="K6" s="3" t="s">
        <v>53</v>
      </c>
      <c r="L6" s="3"/>
      <c r="M6" s="3"/>
      <c r="N6" s="3"/>
      <c r="O6" s="3"/>
      <c r="P6" s="5" t="s">
        <v>26</v>
      </c>
    </row>
    <row r="7" customFormat="false" ht="23.25" hidden="false" customHeight="true" outlineLevel="0" collapsed="false">
      <c r="A7" s="3" t="s">
        <v>16</v>
      </c>
      <c r="B7" s="3" t="s">
        <v>54</v>
      </c>
      <c r="C7" s="4" t="s">
        <v>18</v>
      </c>
      <c r="D7" s="4" t="s">
        <v>34</v>
      </c>
      <c r="E7" s="4" t="s">
        <v>20</v>
      </c>
      <c r="F7" s="4" t="s">
        <v>21</v>
      </c>
      <c r="G7" s="3"/>
      <c r="H7" s="3" t="s">
        <v>55</v>
      </c>
      <c r="I7" s="3" t="s">
        <v>56</v>
      </c>
      <c r="J7" s="3" t="s">
        <v>57</v>
      </c>
      <c r="K7" s="3" t="s">
        <v>58</v>
      </c>
      <c r="L7" s="3"/>
      <c r="M7" s="3"/>
      <c r="N7" s="3"/>
      <c r="O7" s="3"/>
      <c r="P7" s="5" t="s">
        <v>48</v>
      </c>
    </row>
    <row r="8" customFormat="false" ht="23.25" hidden="false" customHeight="true" outlineLevel="0" collapsed="false">
      <c r="A8" s="3" t="s">
        <v>16</v>
      </c>
      <c r="B8" s="3" t="s">
        <v>59</v>
      </c>
      <c r="C8" s="4" t="s">
        <v>18</v>
      </c>
      <c r="D8" s="4" t="s">
        <v>60</v>
      </c>
      <c r="E8" s="4" t="s">
        <v>20</v>
      </c>
      <c r="F8" s="4" t="s">
        <v>21</v>
      </c>
      <c r="G8" s="3"/>
      <c r="H8" s="3" t="s">
        <v>61</v>
      </c>
      <c r="I8" s="3" t="s">
        <v>62</v>
      </c>
      <c r="J8" s="3" t="s">
        <v>63</v>
      </c>
      <c r="K8" s="3" t="s">
        <v>64</v>
      </c>
      <c r="L8" s="3"/>
      <c r="M8" s="3"/>
      <c r="N8" s="3"/>
      <c r="O8" s="3"/>
      <c r="P8" s="5" t="s">
        <v>48</v>
      </c>
    </row>
    <row r="9" customFormat="false" ht="34.5" hidden="false" customHeight="true" outlineLevel="0" collapsed="false">
      <c r="A9" s="3" t="s">
        <v>16</v>
      </c>
      <c r="B9" s="3" t="s">
        <v>65</v>
      </c>
      <c r="C9" s="4" t="s">
        <v>18</v>
      </c>
      <c r="D9" s="4" t="s">
        <v>19</v>
      </c>
      <c r="E9" s="4" t="s">
        <v>20</v>
      </c>
      <c r="F9" s="4" t="s">
        <v>21</v>
      </c>
      <c r="G9" s="3"/>
      <c r="H9" s="3" t="s">
        <v>66</v>
      </c>
      <c r="I9" s="3" t="s">
        <v>67</v>
      </c>
      <c r="J9" s="3" t="s">
        <v>68</v>
      </c>
      <c r="K9" s="3" t="s">
        <v>69</v>
      </c>
      <c r="L9" s="3"/>
      <c r="M9" s="3"/>
      <c r="N9" s="3"/>
      <c r="O9" s="3"/>
      <c r="P9" s="5" t="s">
        <v>32</v>
      </c>
    </row>
    <row r="10" customFormat="false" ht="23.25" hidden="false" customHeight="true" outlineLevel="0" collapsed="false">
      <c r="A10" s="3" t="s">
        <v>16</v>
      </c>
      <c r="B10" s="3" t="s">
        <v>70</v>
      </c>
      <c r="C10" s="4" t="s">
        <v>18</v>
      </c>
      <c r="D10" s="4" t="s">
        <v>34</v>
      </c>
      <c r="E10" s="4" t="s">
        <v>35</v>
      </c>
      <c r="F10" s="4" t="s">
        <v>21</v>
      </c>
      <c r="G10" s="3"/>
      <c r="H10" s="3" t="s">
        <v>71</v>
      </c>
      <c r="I10" s="3" t="s">
        <v>72</v>
      </c>
      <c r="J10" s="3" t="s">
        <v>73</v>
      </c>
      <c r="K10" s="3" t="s">
        <v>74</v>
      </c>
      <c r="L10" s="3" t="s">
        <v>75</v>
      </c>
      <c r="M10" s="3"/>
      <c r="N10" s="3"/>
      <c r="O10" s="3"/>
      <c r="P10" s="5" t="s">
        <v>76</v>
      </c>
    </row>
    <row r="11" customFormat="false" ht="23.25" hidden="false" customHeight="true" outlineLevel="0" collapsed="false">
      <c r="A11" s="3" t="s">
        <v>16</v>
      </c>
      <c r="B11" s="3" t="s">
        <v>77</v>
      </c>
      <c r="C11" s="4" t="s">
        <v>43</v>
      </c>
      <c r="D11" s="4" t="s">
        <v>34</v>
      </c>
      <c r="E11" s="4" t="s">
        <v>35</v>
      </c>
      <c r="F11" s="4" t="s">
        <v>21</v>
      </c>
      <c r="G11" s="3"/>
      <c r="H11" s="3" t="s">
        <v>78</v>
      </c>
      <c r="I11" s="3" t="s">
        <v>79</v>
      </c>
      <c r="J11" s="3" t="s">
        <v>80</v>
      </c>
      <c r="K11" s="3" t="s">
        <v>81</v>
      </c>
      <c r="L11" s="3" t="s">
        <v>82</v>
      </c>
      <c r="M11" s="3"/>
      <c r="N11" s="3"/>
      <c r="O11" s="3"/>
      <c r="P11" s="5" t="s">
        <v>83</v>
      </c>
    </row>
    <row r="12" customFormat="false" ht="23.25" hidden="false" customHeight="true" outlineLevel="0" collapsed="false">
      <c r="A12" s="3" t="s">
        <v>16</v>
      </c>
      <c r="B12" s="3" t="s">
        <v>84</v>
      </c>
      <c r="C12" s="4" t="s">
        <v>18</v>
      </c>
      <c r="D12" s="4" t="s">
        <v>34</v>
      </c>
      <c r="E12" s="4" t="s">
        <v>20</v>
      </c>
      <c r="F12" s="4" t="s">
        <v>21</v>
      </c>
      <c r="G12" s="3"/>
      <c r="H12" s="3" t="s">
        <v>85</v>
      </c>
      <c r="I12" s="3" t="s">
        <v>86</v>
      </c>
      <c r="J12" s="3" t="s">
        <v>87</v>
      </c>
      <c r="K12" s="3" t="s">
        <v>88</v>
      </c>
      <c r="L12" s="3"/>
      <c r="M12" s="3"/>
      <c r="N12" s="3"/>
      <c r="O12" s="3"/>
      <c r="P12" s="5" t="s">
        <v>32</v>
      </c>
    </row>
    <row r="13" customFormat="false" ht="23.25" hidden="false" customHeight="true" outlineLevel="0" collapsed="false">
      <c r="A13" s="3" t="s">
        <v>16</v>
      </c>
      <c r="B13" s="3" t="s">
        <v>89</v>
      </c>
      <c r="C13" s="4" t="s">
        <v>18</v>
      </c>
      <c r="D13" s="4" t="s">
        <v>19</v>
      </c>
      <c r="E13" s="4" t="s">
        <v>20</v>
      </c>
      <c r="F13" s="4" t="s">
        <v>21</v>
      </c>
      <c r="G13" s="3"/>
      <c r="H13" s="3" t="s">
        <v>90</v>
      </c>
      <c r="I13" s="3" t="s">
        <v>91</v>
      </c>
      <c r="J13" s="3" t="s">
        <v>92</v>
      </c>
      <c r="K13" s="3" t="s">
        <v>93</v>
      </c>
      <c r="L13" s="3"/>
      <c r="M13" s="3"/>
      <c r="N13" s="3"/>
      <c r="O13" s="3"/>
      <c r="P13" s="5" t="s">
        <v>26</v>
      </c>
    </row>
    <row r="14" customFormat="false" ht="23.25" hidden="false" customHeight="true" outlineLevel="0" collapsed="false">
      <c r="A14" s="3" t="s">
        <v>16</v>
      </c>
      <c r="B14" s="3" t="s">
        <v>94</v>
      </c>
      <c r="C14" s="4" t="s">
        <v>18</v>
      </c>
      <c r="D14" s="4" t="s">
        <v>19</v>
      </c>
      <c r="E14" s="4" t="s">
        <v>20</v>
      </c>
      <c r="F14" s="4" t="s">
        <v>21</v>
      </c>
      <c r="G14" s="3"/>
      <c r="H14" s="3" t="s">
        <v>95</v>
      </c>
      <c r="I14" s="3" t="s">
        <v>96</v>
      </c>
      <c r="J14" s="3" t="s">
        <v>97</v>
      </c>
      <c r="K14" s="3" t="s">
        <v>98</v>
      </c>
      <c r="L14" s="3"/>
      <c r="M14" s="3"/>
      <c r="N14" s="3"/>
      <c r="O14" s="3"/>
      <c r="P14" s="5" t="s">
        <v>32</v>
      </c>
    </row>
    <row r="15" customFormat="false" ht="23.25" hidden="false" customHeight="true" outlineLevel="0" collapsed="false">
      <c r="A15" s="3" t="s">
        <v>16</v>
      </c>
      <c r="B15" s="3" t="s">
        <v>99</v>
      </c>
      <c r="C15" s="4" t="s">
        <v>18</v>
      </c>
      <c r="D15" s="4" t="s">
        <v>34</v>
      </c>
      <c r="E15" s="4" t="s">
        <v>35</v>
      </c>
      <c r="F15" s="4" t="s">
        <v>21</v>
      </c>
      <c r="G15" s="3"/>
      <c r="H15" s="3" t="s">
        <v>100</v>
      </c>
      <c r="I15" s="3" t="s">
        <v>101</v>
      </c>
      <c r="J15" s="3" t="s">
        <v>102</v>
      </c>
      <c r="K15" s="3" t="s">
        <v>103</v>
      </c>
      <c r="L15" s="3" t="s">
        <v>104</v>
      </c>
      <c r="M15" s="3"/>
      <c r="N15" s="3"/>
      <c r="O15" s="3"/>
      <c r="P15" s="5" t="s">
        <v>105</v>
      </c>
    </row>
    <row r="16" customFormat="false" ht="34.5" hidden="false" customHeight="true" outlineLevel="0" collapsed="false">
      <c r="A16" s="3" t="s">
        <v>16</v>
      </c>
      <c r="B16" s="3" t="s">
        <v>106</v>
      </c>
      <c r="C16" s="4" t="s">
        <v>43</v>
      </c>
      <c r="D16" s="4" t="s">
        <v>34</v>
      </c>
      <c r="E16" s="4" t="s">
        <v>20</v>
      </c>
      <c r="F16" s="4" t="s">
        <v>21</v>
      </c>
      <c r="G16" s="3"/>
      <c r="H16" s="3" t="s">
        <v>107</v>
      </c>
      <c r="I16" s="3" t="s">
        <v>108</v>
      </c>
      <c r="J16" s="3" t="s">
        <v>109</v>
      </c>
      <c r="K16" s="3" t="s">
        <v>110</v>
      </c>
      <c r="L16" s="3"/>
      <c r="M16" s="3"/>
      <c r="N16" s="3"/>
      <c r="O16" s="3"/>
      <c r="P16" s="5" t="s">
        <v>26</v>
      </c>
    </row>
    <row r="17" customFormat="false" ht="23.25" hidden="false" customHeight="true" outlineLevel="0" collapsed="false">
      <c r="A17" s="3" t="s">
        <v>16</v>
      </c>
      <c r="B17" s="3" t="s">
        <v>111</v>
      </c>
      <c r="C17" s="4" t="s">
        <v>18</v>
      </c>
      <c r="D17" s="4" t="s">
        <v>60</v>
      </c>
      <c r="E17" s="4" t="s">
        <v>20</v>
      </c>
      <c r="F17" s="4" t="s">
        <v>21</v>
      </c>
      <c r="G17" s="3"/>
      <c r="H17" s="3" t="s">
        <v>112</v>
      </c>
      <c r="I17" s="3" t="s">
        <v>113</v>
      </c>
      <c r="J17" s="3" t="s">
        <v>114</v>
      </c>
      <c r="K17" s="3" t="s">
        <v>115</v>
      </c>
      <c r="L17" s="3"/>
      <c r="M17" s="3"/>
      <c r="N17" s="3"/>
      <c r="O17" s="3"/>
      <c r="P17" s="5" t="s">
        <v>32</v>
      </c>
    </row>
    <row r="18" customFormat="false" ht="34.5" hidden="false" customHeight="true" outlineLevel="0" collapsed="false">
      <c r="A18" s="3" t="s">
        <v>16</v>
      </c>
      <c r="B18" s="3" t="s">
        <v>116</v>
      </c>
      <c r="C18" s="4" t="s">
        <v>18</v>
      </c>
      <c r="D18" s="4" t="s">
        <v>34</v>
      </c>
      <c r="E18" s="4" t="s">
        <v>35</v>
      </c>
      <c r="F18" s="4" t="s">
        <v>21</v>
      </c>
      <c r="G18" s="3"/>
      <c r="H18" s="3" t="s">
        <v>117</v>
      </c>
      <c r="I18" s="3" t="s">
        <v>118</v>
      </c>
      <c r="J18" s="3" t="s">
        <v>119</v>
      </c>
      <c r="K18" s="3" t="s">
        <v>120</v>
      </c>
      <c r="L18" s="3" t="s">
        <v>121</v>
      </c>
      <c r="M18" s="3"/>
      <c r="N18" s="3"/>
      <c r="O18" s="3"/>
      <c r="P18" s="5" t="s">
        <v>41</v>
      </c>
    </row>
    <row r="19" customFormat="false" ht="23.25" hidden="false" customHeight="true" outlineLevel="0" collapsed="false">
      <c r="A19" s="3" t="s">
        <v>16</v>
      </c>
      <c r="B19" s="3" t="s">
        <v>122</v>
      </c>
      <c r="C19" s="4" t="s">
        <v>18</v>
      </c>
      <c r="D19" s="4" t="s">
        <v>19</v>
      </c>
      <c r="E19" s="4" t="s">
        <v>20</v>
      </c>
      <c r="F19" s="4" t="s">
        <v>21</v>
      </c>
      <c r="G19" s="3"/>
      <c r="H19" s="3" t="s">
        <v>123</v>
      </c>
      <c r="I19" s="3" t="s">
        <v>124</v>
      </c>
      <c r="J19" s="3" t="s">
        <v>125</v>
      </c>
      <c r="K19" s="3" t="s">
        <v>126</v>
      </c>
      <c r="L19" s="3"/>
      <c r="M19" s="3"/>
      <c r="N19" s="3"/>
      <c r="O19" s="3"/>
      <c r="P19" s="5" t="s">
        <v>48</v>
      </c>
    </row>
    <row r="20" customFormat="false" ht="23.25" hidden="false" customHeight="true" outlineLevel="0" collapsed="false">
      <c r="A20" s="3" t="s">
        <v>16</v>
      </c>
      <c r="B20" s="3" t="s">
        <v>127</v>
      </c>
      <c r="C20" s="4" t="s">
        <v>18</v>
      </c>
      <c r="D20" s="4" t="s">
        <v>19</v>
      </c>
      <c r="E20" s="4" t="s">
        <v>20</v>
      </c>
      <c r="F20" s="4" t="s">
        <v>21</v>
      </c>
      <c r="G20" s="3"/>
      <c r="H20" s="3" t="s">
        <v>128</v>
      </c>
      <c r="I20" s="3" t="s">
        <v>129</v>
      </c>
      <c r="J20" s="3" t="s">
        <v>130</v>
      </c>
      <c r="K20" s="3" t="s">
        <v>124</v>
      </c>
      <c r="L20" s="3"/>
      <c r="M20" s="3"/>
      <c r="N20" s="3"/>
      <c r="O20" s="3"/>
      <c r="P20" s="5" t="s">
        <v>26</v>
      </c>
    </row>
    <row r="21" customFormat="false" ht="23.25" hidden="false" customHeight="true" outlineLevel="0" collapsed="false">
      <c r="A21" s="3" t="s">
        <v>16</v>
      </c>
      <c r="B21" s="3" t="s">
        <v>131</v>
      </c>
      <c r="C21" s="4" t="s">
        <v>43</v>
      </c>
      <c r="D21" s="4" t="s">
        <v>34</v>
      </c>
      <c r="E21" s="4" t="s">
        <v>20</v>
      </c>
      <c r="F21" s="4" t="s">
        <v>21</v>
      </c>
      <c r="G21" s="3"/>
      <c r="H21" s="3" t="s">
        <v>132</v>
      </c>
      <c r="I21" s="3" t="s">
        <v>133</v>
      </c>
      <c r="J21" s="3" t="s">
        <v>134</v>
      </c>
      <c r="K21" s="3" t="s">
        <v>135</v>
      </c>
      <c r="L21" s="3"/>
      <c r="M21" s="3"/>
      <c r="N21" s="3"/>
      <c r="O21" s="3"/>
      <c r="P21" s="5" t="s">
        <v>48</v>
      </c>
    </row>
    <row r="22" customFormat="false" ht="23.25" hidden="false" customHeight="true" outlineLevel="0" collapsed="false">
      <c r="A22" s="3" t="s">
        <v>16</v>
      </c>
      <c r="B22" s="3" t="s">
        <v>136</v>
      </c>
      <c r="C22" s="4" t="s">
        <v>43</v>
      </c>
      <c r="D22" s="4" t="s">
        <v>34</v>
      </c>
      <c r="E22" s="4" t="s">
        <v>20</v>
      </c>
      <c r="F22" s="4" t="s">
        <v>21</v>
      </c>
      <c r="G22" s="3"/>
      <c r="H22" s="3" t="s">
        <v>137</v>
      </c>
      <c r="I22" s="3" t="s">
        <v>138</v>
      </c>
      <c r="J22" s="3" t="s">
        <v>139</v>
      </c>
      <c r="K22" s="3" t="s">
        <v>140</v>
      </c>
      <c r="L22" s="3"/>
      <c r="M22" s="3"/>
      <c r="N22" s="3"/>
      <c r="O22" s="3"/>
      <c r="P22" s="5" t="s">
        <v>48</v>
      </c>
    </row>
    <row r="23" customFormat="false" ht="23.25" hidden="false" customHeight="true" outlineLevel="0" collapsed="false">
      <c r="A23" s="3" t="s">
        <v>16</v>
      </c>
      <c r="B23" s="3" t="s">
        <v>141</v>
      </c>
      <c r="C23" s="4" t="s">
        <v>43</v>
      </c>
      <c r="D23" s="4" t="s">
        <v>34</v>
      </c>
      <c r="E23" s="4" t="s">
        <v>20</v>
      </c>
      <c r="F23" s="4" t="s">
        <v>21</v>
      </c>
      <c r="G23" s="3"/>
      <c r="H23" s="3" t="s">
        <v>142</v>
      </c>
      <c r="I23" s="3" t="s">
        <v>143</v>
      </c>
      <c r="J23" s="3" t="s">
        <v>144</v>
      </c>
      <c r="K23" s="3" t="s">
        <v>145</v>
      </c>
      <c r="L23" s="3"/>
      <c r="M23" s="3"/>
      <c r="N23" s="3"/>
      <c r="O23" s="3"/>
      <c r="P23" s="5" t="s">
        <v>32</v>
      </c>
    </row>
    <row r="24" customFormat="false" ht="34.5" hidden="false" customHeight="true" outlineLevel="0" collapsed="false">
      <c r="A24" s="3" t="s">
        <v>16</v>
      </c>
      <c r="B24" s="3" t="s">
        <v>146</v>
      </c>
      <c r="C24" s="4" t="s">
        <v>18</v>
      </c>
      <c r="D24" s="4" t="s">
        <v>60</v>
      </c>
      <c r="E24" s="4" t="s">
        <v>20</v>
      </c>
      <c r="F24" s="4" t="s">
        <v>21</v>
      </c>
      <c r="G24" s="3"/>
      <c r="H24" s="3" t="s">
        <v>147</v>
      </c>
      <c r="I24" s="3" t="s">
        <v>148</v>
      </c>
      <c r="J24" s="3" t="s">
        <v>149</v>
      </c>
      <c r="K24" s="3" t="s">
        <v>150</v>
      </c>
      <c r="L24" s="3"/>
      <c r="M24" s="3"/>
      <c r="N24" s="3"/>
      <c r="O24" s="3"/>
      <c r="P24" s="5" t="s">
        <v>32</v>
      </c>
    </row>
    <row r="25" customFormat="false" ht="34.5" hidden="false" customHeight="true" outlineLevel="0" collapsed="false">
      <c r="A25" s="3" t="s">
        <v>16</v>
      </c>
      <c r="B25" s="3" t="s">
        <v>151</v>
      </c>
      <c r="C25" s="4" t="s">
        <v>43</v>
      </c>
      <c r="D25" s="4" t="s">
        <v>34</v>
      </c>
      <c r="E25" s="4" t="s">
        <v>35</v>
      </c>
      <c r="F25" s="4" t="s">
        <v>21</v>
      </c>
      <c r="G25" s="3"/>
      <c r="H25" s="3" t="s">
        <v>152</v>
      </c>
      <c r="I25" s="3" t="s">
        <v>153</v>
      </c>
      <c r="J25" s="3" t="s">
        <v>154</v>
      </c>
      <c r="K25" s="3" t="s">
        <v>155</v>
      </c>
      <c r="L25" s="3" t="s">
        <v>156</v>
      </c>
      <c r="M25" s="3"/>
      <c r="N25" s="3"/>
      <c r="O25" s="3"/>
      <c r="P25" s="5" t="s">
        <v>41</v>
      </c>
    </row>
    <row r="26" customFormat="false" ht="34.5" hidden="false" customHeight="true" outlineLevel="0" collapsed="false">
      <c r="A26" s="3" t="s">
        <v>16</v>
      </c>
      <c r="B26" s="3" t="s">
        <v>157</v>
      </c>
      <c r="C26" s="4" t="s">
        <v>18</v>
      </c>
      <c r="D26" s="4" t="s">
        <v>19</v>
      </c>
      <c r="E26" s="4" t="s">
        <v>35</v>
      </c>
      <c r="F26" s="4" t="s">
        <v>21</v>
      </c>
      <c r="G26" s="3"/>
      <c r="H26" s="3" t="s">
        <v>158</v>
      </c>
      <c r="I26" s="3" t="s">
        <v>159</v>
      </c>
      <c r="J26" s="3" t="s">
        <v>160</v>
      </c>
      <c r="K26" s="3" t="s">
        <v>161</v>
      </c>
      <c r="L26" s="3" t="s">
        <v>162</v>
      </c>
      <c r="M26" s="3"/>
      <c r="N26" s="3"/>
      <c r="O26" s="3"/>
      <c r="P26" s="5" t="s">
        <v>163</v>
      </c>
    </row>
    <row r="27" customFormat="false" ht="23.25" hidden="false" customHeight="true" outlineLevel="0" collapsed="false">
      <c r="A27" s="3" t="s">
        <v>16</v>
      </c>
      <c r="B27" s="3" t="s">
        <v>164</v>
      </c>
      <c r="C27" s="4" t="s">
        <v>18</v>
      </c>
      <c r="D27" s="4" t="s">
        <v>34</v>
      </c>
      <c r="E27" s="4" t="s">
        <v>20</v>
      </c>
      <c r="F27" s="4" t="s">
        <v>21</v>
      </c>
      <c r="G27" s="3"/>
      <c r="H27" s="3" t="s">
        <v>165</v>
      </c>
      <c r="I27" s="3" t="s">
        <v>166</v>
      </c>
      <c r="J27" s="3" t="s">
        <v>167</v>
      </c>
      <c r="K27" s="3" t="s">
        <v>168</v>
      </c>
      <c r="L27" s="3"/>
      <c r="M27" s="3"/>
      <c r="N27" s="3"/>
      <c r="O27" s="3"/>
      <c r="P27" s="5" t="s">
        <v>26</v>
      </c>
    </row>
    <row r="28" customFormat="false" ht="23.25" hidden="false" customHeight="true" outlineLevel="0" collapsed="false">
      <c r="A28" s="3" t="s">
        <v>16</v>
      </c>
      <c r="B28" s="3" t="s">
        <v>169</v>
      </c>
      <c r="C28" s="4" t="s">
        <v>43</v>
      </c>
      <c r="D28" s="4" t="s">
        <v>19</v>
      </c>
      <c r="E28" s="4" t="s">
        <v>20</v>
      </c>
      <c r="F28" s="4" t="s">
        <v>21</v>
      </c>
      <c r="G28" s="3"/>
      <c r="H28" s="3" t="s">
        <v>170</v>
      </c>
      <c r="I28" s="3" t="s">
        <v>171</v>
      </c>
      <c r="J28" s="3" t="s">
        <v>172</v>
      </c>
      <c r="K28" s="3" t="s">
        <v>173</v>
      </c>
      <c r="L28" s="3"/>
      <c r="M28" s="3"/>
      <c r="N28" s="3"/>
      <c r="O28" s="3"/>
      <c r="P28" s="5" t="s">
        <v>174</v>
      </c>
    </row>
    <row r="29" customFormat="false" ht="34.5" hidden="false" customHeight="true" outlineLevel="0" collapsed="false">
      <c r="A29" s="3" t="s">
        <v>16</v>
      </c>
      <c r="B29" s="3" t="s">
        <v>175</v>
      </c>
      <c r="C29" s="4" t="s">
        <v>43</v>
      </c>
      <c r="D29" s="4" t="s">
        <v>60</v>
      </c>
      <c r="E29" s="4" t="s">
        <v>20</v>
      </c>
      <c r="F29" s="4" t="s">
        <v>21</v>
      </c>
      <c r="G29" s="3"/>
      <c r="H29" s="3" t="s">
        <v>176</v>
      </c>
      <c r="I29" s="3" t="s">
        <v>177</v>
      </c>
      <c r="J29" s="3" t="s">
        <v>178</v>
      </c>
      <c r="K29" s="3" t="s">
        <v>179</v>
      </c>
      <c r="L29" s="3"/>
      <c r="M29" s="3"/>
      <c r="N29" s="3"/>
      <c r="O29" s="3"/>
      <c r="P29" s="5" t="s">
        <v>32</v>
      </c>
    </row>
    <row r="30" customFormat="false" ht="23.25" hidden="false" customHeight="true" outlineLevel="0" collapsed="false">
      <c r="A30" s="3" t="s">
        <v>16</v>
      </c>
      <c r="B30" s="3" t="s">
        <v>180</v>
      </c>
      <c r="C30" s="4" t="s">
        <v>18</v>
      </c>
      <c r="D30" s="4" t="s">
        <v>34</v>
      </c>
      <c r="E30" s="4" t="s">
        <v>20</v>
      </c>
      <c r="F30" s="4" t="s">
        <v>21</v>
      </c>
      <c r="G30" s="3"/>
      <c r="H30" s="3" t="s">
        <v>181</v>
      </c>
      <c r="I30" s="3" t="s">
        <v>182</v>
      </c>
      <c r="J30" s="3" t="s">
        <v>183</v>
      </c>
      <c r="K30" s="3" t="s">
        <v>184</v>
      </c>
      <c r="L30" s="3"/>
      <c r="M30" s="3"/>
      <c r="N30" s="3"/>
      <c r="O30" s="3"/>
      <c r="P30" s="5" t="s">
        <v>32</v>
      </c>
    </row>
    <row r="31" customFormat="false" ht="34.5" hidden="false" customHeight="true" outlineLevel="0" collapsed="false">
      <c r="A31" s="3" t="s">
        <v>16</v>
      </c>
      <c r="B31" s="3" t="s">
        <v>185</v>
      </c>
      <c r="C31" s="4" t="s">
        <v>43</v>
      </c>
      <c r="D31" s="4" t="s">
        <v>60</v>
      </c>
      <c r="E31" s="4" t="s">
        <v>20</v>
      </c>
      <c r="F31" s="4" t="s">
        <v>21</v>
      </c>
      <c r="G31" s="3"/>
      <c r="H31" s="3" t="s">
        <v>186</v>
      </c>
      <c r="I31" s="3" t="s">
        <v>187</v>
      </c>
      <c r="J31" s="3" t="s">
        <v>188</v>
      </c>
      <c r="K31" s="3" t="s">
        <v>189</v>
      </c>
      <c r="L31" s="3"/>
      <c r="M31" s="3"/>
      <c r="N31" s="3"/>
      <c r="O31" s="3"/>
      <c r="P31" s="5" t="s">
        <v>174</v>
      </c>
    </row>
    <row r="32" customFormat="false" ht="23.25" hidden="false" customHeight="true" outlineLevel="0" collapsed="false">
      <c r="A32" s="3" t="s">
        <v>16</v>
      </c>
      <c r="B32" s="3" t="s">
        <v>190</v>
      </c>
      <c r="C32" s="4" t="s">
        <v>18</v>
      </c>
      <c r="D32" s="4" t="s">
        <v>19</v>
      </c>
      <c r="E32" s="4" t="s">
        <v>20</v>
      </c>
      <c r="F32" s="4" t="s">
        <v>191</v>
      </c>
      <c r="G32" s="3" t="s">
        <v>192</v>
      </c>
      <c r="H32" s="3" t="s">
        <v>193</v>
      </c>
      <c r="I32" s="3" t="s">
        <v>194</v>
      </c>
      <c r="J32" s="3" t="s">
        <v>195</v>
      </c>
      <c r="K32" s="3" t="s">
        <v>196</v>
      </c>
      <c r="L32" s="3"/>
      <c r="M32" s="3"/>
      <c r="N32" s="3"/>
      <c r="O32" s="3"/>
      <c r="P32" s="5" t="s">
        <v>32</v>
      </c>
    </row>
    <row r="33" customFormat="false" ht="23.25" hidden="false" customHeight="true" outlineLevel="0" collapsed="false">
      <c r="A33" s="3" t="s">
        <v>16</v>
      </c>
      <c r="B33" s="3" t="s">
        <v>197</v>
      </c>
      <c r="C33" s="4" t="s">
        <v>43</v>
      </c>
      <c r="D33" s="4" t="s">
        <v>34</v>
      </c>
      <c r="E33" s="4" t="s">
        <v>20</v>
      </c>
      <c r="F33" s="4" t="s">
        <v>191</v>
      </c>
      <c r="G33" s="3" t="s">
        <v>192</v>
      </c>
      <c r="H33" s="3" t="s">
        <v>198</v>
      </c>
      <c r="I33" s="3" t="s">
        <v>199</v>
      </c>
      <c r="J33" s="3" t="s">
        <v>200</v>
      </c>
      <c r="K33" s="3" t="s">
        <v>201</v>
      </c>
      <c r="L33" s="3"/>
      <c r="M33" s="3"/>
      <c r="N33" s="3"/>
      <c r="O33" s="3"/>
      <c r="P33" s="5" t="s">
        <v>26</v>
      </c>
    </row>
    <row r="34" customFormat="false" ht="15" hidden="false" customHeight="true" outlineLevel="0" collapsed="false">
      <c r="A34" s="3" t="s">
        <v>16</v>
      </c>
      <c r="B34" s="3" t="s">
        <v>202</v>
      </c>
      <c r="C34" s="4" t="s">
        <v>18</v>
      </c>
      <c r="D34" s="4" t="s">
        <v>34</v>
      </c>
      <c r="E34" s="4" t="s">
        <v>35</v>
      </c>
      <c r="F34" s="4" t="s">
        <v>191</v>
      </c>
      <c r="G34" s="3" t="s">
        <v>192</v>
      </c>
      <c r="H34" s="3" t="s">
        <v>203</v>
      </c>
      <c r="I34" s="3" t="s">
        <v>204</v>
      </c>
      <c r="J34" s="3" t="s">
        <v>205</v>
      </c>
      <c r="K34" s="3" t="s">
        <v>206</v>
      </c>
      <c r="L34" s="3" t="s">
        <v>207</v>
      </c>
      <c r="M34" s="3"/>
      <c r="N34" s="3"/>
      <c r="O34" s="3"/>
      <c r="P34" s="5" t="s">
        <v>208</v>
      </c>
    </row>
    <row r="35" customFormat="false" ht="23.25" hidden="false" customHeight="true" outlineLevel="0" collapsed="false">
      <c r="A35" s="3" t="s">
        <v>16</v>
      </c>
      <c r="B35" s="3" t="s">
        <v>209</v>
      </c>
      <c r="C35" s="4" t="s">
        <v>43</v>
      </c>
      <c r="D35" s="4" t="s">
        <v>60</v>
      </c>
      <c r="E35" s="4" t="s">
        <v>20</v>
      </c>
      <c r="F35" s="4" t="s">
        <v>191</v>
      </c>
      <c r="G35" s="3" t="s">
        <v>192</v>
      </c>
      <c r="H35" s="3" t="s">
        <v>210</v>
      </c>
      <c r="I35" s="3" t="s">
        <v>211</v>
      </c>
      <c r="J35" s="3" t="s">
        <v>212</v>
      </c>
      <c r="K35" s="3" t="s">
        <v>213</v>
      </c>
      <c r="L35" s="3"/>
      <c r="M35" s="3"/>
      <c r="N35" s="3"/>
      <c r="O35" s="3"/>
      <c r="P35" s="5" t="s">
        <v>26</v>
      </c>
    </row>
    <row r="36" customFormat="false" ht="23.25" hidden="false" customHeight="true" outlineLevel="0" collapsed="false">
      <c r="A36" s="3" t="s">
        <v>16</v>
      </c>
      <c r="B36" s="3" t="s">
        <v>214</v>
      </c>
      <c r="C36" s="4" t="s">
        <v>18</v>
      </c>
      <c r="D36" s="4" t="s">
        <v>19</v>
      </c>
      <c r="E36" s="4" t="s">
        <v>20</v>
      </c>
      <c r="F36" s="4" t="s">
        <v>191</v>
      </c>
      <c r="G36" s="3" t="s">
        <v>215</v>
      </c>
      <c r="H36" s="3" t="s">
        <v>216</v>
      </c>
      <c r="I36" s="3" t="s">
        <v>217</v>
      </c>
      <c r="J36" s="3" t="s">
        <v>218</v>
      </c>
      <c r="K36" s="3" t="s">
        <v>219</v>
      </c>
      <c r="L36" s="3"/>
      <c r="M36" s="3"/>
      <c r="N36" s="3"/>
      <c r="O36" s="3"/>
      <c r="P36" s="5" t="s">
        <v>174</v>
      </c>
    </row>
    <row r="37" customFormat="false" ht="34.5" hidden="false" customHeight="true" outlineLevel="0" collapsed="false">
      <c r="A37" s="3" t="s">
        <v>16</v>
      </c>
      <c r="B37" s="3" t="s">
        <v>220</v>
      </c>
      <c r="C37" s="4" t="s">
        <v>43</v>
      </c>
      <c r="D37" s="4" t="s">
        <v>34</v>
      </c>
      <c r="E37" s="4" t="s">
        <v>20</v>
      </c>
      <c r="F37" s="4" t="s">
        <v>191</v>
      </c>
      <c r="G37" s="3" t="s">
        <v>215</v>
      </c>
      <c r="H37" s="3" t="s">
        <v>221</v>
      </c>
      <c r="I37" s="3" t="s">
        <v>222</v>
      </c>
      <c r="J37" s="3" t="s">
        <v>223</v>
      </c>
      <c r="K37" s="3" t="s">
        <v>224</v>
      </c>
      <c r="L37" s="3"/>
      <c r="M37" s="3"/>
      <c r="N37" s="3"/>
      <c r="O37" s="3"/>
      <c r="P37" s="5" t="s">
        <v>32</v>
      </c>
    </row>
    <row r="38" customFormat="false" ht="23.25" hidden="false" customHeight="true" outlineLevel="0" collapsed="false">
      <c r="A38" s="3" t="s">
        <v>16</v>
      </c>
      <c r="B38" s="3" t="s">
        <v>225</v>
      </c>
      <c r="C38" s="4" t="s">
        <v>18</v>
      </c>
      <c r="D38" s="4" t="s">
        <v>34</v>
      </c>
      <c r="E38" s="4" t="s">
        <v>35</v>
      </c>
      <c r="F38" s="4" t="s">
        <v>191</v>
      </c>
      <c r="G38" s="3" t="s">
        <v>215</v>
      </c>
      <c r="H38" s="3" t="s">
        <v>226</v>
      </c>
      <c r="I38" s="3" t="s">
        <v>227</v>
      </c>
      <c r="J38" s="3" t="s">
        <v>228</v>
      </c>
      <c r="K38" s="3" t="s">
        <v>229</v>
      </c>
      <c r="L38" s="3" t="s">
        <v>230</v>
      </c>
      <c r="M38" s="3"/>
      <c r="N38" s="3"/>
      <c r="O38" s="3"/>
      <c r="P38" s="5" t="s">
        <v>105</v>
      </c>
    </row>
    <row r="39" customFormat="false" ht="23.25" hidden="false" customHeight="true" outlineLevel="0" collapsed="false">
      <c r="A39" s="3" t="s">
        <v>16</v>
      </c>
      <c r="B39" s="3" t="s">
        <v>231</v>
      </c>
      <c r="C39" s="4" t="s">
        <v>43</v>
      </c>
      <c r="D39" s="4" t="s">
        <v>60</v>
      </c>
      <c r="E39" s="4" t="s">
        <v>20</v>
      </c>
      <c r="F39" s="4" t="s">
        <v>191</v>
      </c>
      <c r="G39" s="3" t="s">
        <v>215</v>
      </c>
      <c r="H39" s="3" t="s">
        <v>232</v>
      </c>
      <c r="I39" s="3" t="s">
        <v>233</v>
      </c>
      <c r="J39" s="3" t="s">
        <v>234</v>
      </c>
      <c r="K39" s="3" t="s">
        <v>235</v>
      </c>
      <c r="L39" s="3"/>
      <c r="M39" s="3"/>
      <c r="N39" s="3"/>
      <c r="O39" s="3"/>
      <c r="P39" s="5" t="s">
        <v>26</v>
      </c>
    </row>
    <row r="40" customFormat="false" ht="23.25" hidden="false" customHeight="true" outlineLevel="0" collapsed="false">
      <c r="A40" s="3" t="s">
        <v>16</v>
      </c>
      <c r="B40" s="3" t="s">
        <v>236</v>
      </c>
      <c r="C40" s="4" t="s">
        <v>18</v>
      </c>
      <c r="D40" s="4" t="s">
        <v>19</v>
      </c>
      <c r="E40" s="4" t="s">
        <v>20</v>
      </c>
      <c r="F40" s="4" t="s">
        <v>191</v>
      </c>
      <c r="G40" s="3" t="s">
        <v>237</v>
      </c>
      <c r="H40" s="3" t="s">
        <v>238</v>
      </c>
      <c r="I40" s="3" t="s">
        <v>239</v>
      </c>
      <c r="J40" s="3" t="s">
        <v>240</v>
      </c>
      <c r="K40" s="3" t="s">
        <v>241</v>
      </c>
      <c r="L40" s="3"/>
      <c r="M40" s="3"/>
      <c r="N40" s="3"/>
      <c r="O40" s="3"/>
      <c r="P40" s="5" t="s">
        <v>48</v>
      </c>
    </row>
    <row r="41" customFormat="false" ht="23.25" hidden="false" customHeight="true" outlineLevel="0" collapsed="false">
      <c r="A41" s="3" t="s">
        <v>16</v>
      </c>
      <c r="B41" s="3" t="s">
        <v>242</v>
      </c>
      <c r="C41" s="4" t="s">
        <v>43</v>
      </c>
      <c r="D41" s="4" t="s">
        <v>34</v>
      </c>
      <c r="E41" s="4" t="s">
        <v>20</v>
      </c>
      <c r="F41" s="4" t="s">
        <v>191</v>
      </c>
      <c r="G41" s="3" t="s">
        <v>237</v>
      </c>
      <c r="H41" s="3" t="s">
        <v>243</v>
      </c>
      <c r="I41" s="3" t="s">
        <v>244</v>
      </c>
      <c r="J41" s="3" t="s">
        <v>245</v>
      </c>
      <c r="K41" s="3" t="s">
        <v>246</v>
      </c>
      <c r="L41" s="3"/>
      <c r="M41" s="3"/>
      <c r="N41" s="3"/>
      <c r="O41" s="3"/>
      <c r="P41" s="5" t="s">
        <v>26</v>
      </c>
    </row>
    <row r="42" customFormat="false" ht="45.75" hidden="false" customHeight="true" outlineLevel="0" collapsed="false">
      <c r="A42" s="3" t="s">
        <v>16</v>
      </c>
      <c r="B42" s="3" t="s">
        <v>247</v>
      </c>
      <c r="C42" s="4" t="s">
        <v>18</v>
      </c>
      <c r="D42" s="4" t="s">
        <v>34</v>
      </c>
      <c r="E42" s="4" t="s">
        <v>35</v>
      </c>
      <c r="F42" s="4" t="s">
        <v>191</v>
      </c>
      <c r="G42" s="3" t="s">
        <v>237</v>
      </c>
      <c r="H42" s="3" t="s">
        <v>248</v>
      </c>
      <c r="I42" s="3" t="s">
        <v>249</v>
      </c>
      <c r="J42" s="3" t="s">
        <v>250</v>
      </c>
      <c r="K42" s="3" t="s">
        <v>251</v>
      </c>
      <c r="L42" s="3" t="s">
        <v>252</v>
      </c>
      <c r="M42" s="3"/>
      <c r="N42" s="3"/>
      <c r="O42" s="3"/>
      <c r="P42" s="5" t="s">
        <v>83</v>
      </c>
    </row>
    <row r="43" customFormat="false" ht="23.25" hidden="false" customHeight="true" outlineLevel="0" collapsed="false">
      <c r="A43" s="3" t="s">
        <v>16</v>
      </c>
      <c r="B43" s="3" t="s">
        <v>253</v>
      </c>
      <c r="C43" s="4" t="s">
        <v>43</v>
      </c>
      <c r="D43" s="4" t="s">
        <v>60</v>
      </c>
      <c r="E43" s="4" t="s">
        <v>20</v>
      </c>
      <c r="F43" s="4" t="s">
        <v>191</v>
      </c>
      <c r="G43" s="3" t="s">
        <v>237</v>
      </c>
      <c r="H43" s="3" t="s">
        <v>254</v>
      </c>
      <c r="I43" s="3" t="s">
        <v>255</v>
      </c>
      <c r="J43" s="3" t="s">
        <v>256</v>
      </c>
      <c r="K43" s="3" t="s">
        <v>257</v>
      </c>
      <c r="L43" s="3"/>
      <c r="M43" s="3"/>
      <c r="N43" s="3"/>
      <c r="O43" s="3"/>
      <c r="P43" s="5" t="s">
        <v>174</v>
      </c>
    </row>
    <row r="44" customFormat="false" ht="23.25" hidden="false" customHeight="true" outlineLevel="0" collapsed="false">
      <c r="A44" s="3" t="s">
        <v>16</v>
      </c>
      <c r="B44" s="3" t="s">
        <v>258</v>
      </c>
      <c r="C44" s="4" t="s">
        <v>18</v>
      </c>
      <c r="D44" s="4" t="s">
        <v>19</v>
      </c>
      <c r="E44" s="4" t="s">
        <v>20</v>
      </c>
      <c r="F44" s="4" t="s">
        <v>191</v>
      </c>
      <c r="G44" s="3" t="s">
        <v>259</v>
      </c>
      <c r="H44" s="3" t="s">
        <v>260</v>
      </c>
      <c r="I44" s="3" t="s">
        <v>261</v>
      </c>
      <c r="J44" s="3" t="s">
        <v>262</v>
      </c>
      <c r="K44" s="3" t="s">
        <v>263</v>
      </c>
      <c r="L44" s="3"/>
      <c r="M44" s="3"/>
      <c r="N44" s="3"/>
      <c r="O44" s="3"/>
      <c r="P44" s="5" t="s">
        <v>174</v>
      </c>
    </row>
    <row r="45" customFormat="false" ht="23.25" hidden="false" customHeight="true" outlineLevel="0" collapsed="false">
      <c r="A45" s="3" t="s">
        <v>16</v>
      </c>
      <c r="B45" s="3" t="s">
        <v>264</v>
      </c>
      <c r="C45" s="4" t="s">
        <v>43</v>
      </c>
      <c r="D45" s="4" t="s">
        <v>34</v>
      </c>
      <c r="E45" s="4" t="s">
        <v>20</v>
      </c>
      <c r="F45" s="4" t="s">
        <v>191</v>
      </c>
      <c r="G45" s="3" t="s">
        <v>259</v>
      </c>
      <c r="H45" s="3" t="s">
        <v>265</v>
      </c>
      <c r="I45" s="3" t="s">
        <v>266</v>
      </c>
      <c r="J45" s="3" t="s">
        <v>267</v>
      </c>
      <c r="K45" s="3" t="s">
        <v>268</v>
      </c>
      <c r="L45" s="3"/>
      <c r="M45" s="3"/>
      <c r="N45" s="3"/>
      <c r="O45" s="3"/>
      <c r="P45" s="5" t="s">
        <v>48</v>
      </c>
    </row>
    <row r="46" customFormat="false" ht="15" hidden="false" customHeight="true" outlineLevel="0" collapsed="false">
      <c r="A46" s="3" t="s">
        <v>16</v>
      </c>
      <c r="B46" s="3" t="s">
        <v>269</v>
      </c>
      <c r="C46" s="4" t="s">
        <v>18</v>
      </c>
      <c r="D46" s="4" t="s">
        <v>34</v>
      </c>
      <c r="E46" s="4" t="s">
        <v>35</v>
      </c>
      <c r="F46" s="4" t="s">
        <v>191</v>
      </c>
      <c r="G46" s="3" t="s">
        <v>259</v>
      </c>
      <c r="H46" s="3" t="s">
        <v>270</v>
      </c>
      <c r="I46" s="3" t="s">
        <v>271</v>
      </c>
      <c r="J46" s="3" t="s">
        <v>272</v>
      </c>
      <c r="K46" s="3" t="s">
        <v>273</v>
      </c>
      <c r="L46" s="3" t="s">
        <v>274</v>
      </c>
      <c r="M46" s="3"/>
      <c r="N46" s="3"/>
      <c r="O46" s="3"/>
      <c r="P46" s="5" t="s">
        <v>275</v>
      </c>
    </row>
    <row r="47" customFormat="false" ht="23.25" hidden="false" customHeight="true" outlineLevel="0" collapsed="false">
      <c r="A47" s="3" t="s">
        <v>16</v>
      </c>
      <c r="B47" s="3" t="s">
        <v>276</v>
      </c>
      <c r="C47" s="4" t="s">
        <v>43</v>
      </c>
      <c r="D47" s="4" t="s">
        <v>60</v>
      </c>
      <c r="E47" s="4" t="s">
        <v>20</v>
      </c>
      <c r="F47" s="4" t="s">
        <v>191</v>
      </c>
      <c r="G47" s="3" t="s">
        <v>259</v>
      </c>
      <c r="H47" s="3" t="s">
        <v>277</v>
      </c>
      <c r="I47" s="3" t="s">
        <v>278</v>
      </c>
      <c r="J47" s="3" t="s">
        <v>279</v>
      </c>
      <c r="K47" s="3" t="s">
        <v>280</v>
      </c>
      <c r="L47" s="3"/>
      <c r="M47" s="3"/>
      <c r="N47" s="3"/>
      <c r="O47" s="3"/>
      <c r="P47" s="5" t="s">
        <v>174</v>
      </c>
    </row>
    <row r="48" customFormat="false" ht="23.25" hidden="false" customHeight="true" outlineLevel="0" collapsed="false">
      <c r="A48" s="3" t="s">
        <v>16</v>
      </c>
      <c r="B48" s="3" t="s">
        <v>281</v>
      </c>
      <c r="C48" s="4" t="s">
        <v>18</v>
      </c>
      <c r="D48" s="4" t="s">
        <v>19</v>
      </c>
      <c r="E48" s="4" t="s">
        <v>20</v>
      </c>
      <c r="F48" s="4" t="s">
        <v>191</v>
      </c>
      <c r="G48" s="3" t="s">
        <v>282</v>
      </c>
      <c r="H48" s="3" t="s">
        <v>283</v>
      </c>
      <c r="I48" s="3" t="s">
        <v>284</v>
      </c>
      <c r="J48" s="3" t="s">
        <v>285</v>
      </c>
      <c r="K48" s="3" t="s">
        <v>286</v>
      </c>
      <c r="L48" s="3"/>
      <c r="M48" s="3"/>
      <c r="N48" s="3"/>
      <c r="O48" s="3"/>
      <c r="P48" s="5" t="s">
        <v>174</v>
      </c>
    </row>
    <row r="49" customFormat="false" ht="23.25" hidden="false" customHeight="true" outlineLevel="0" collapsed="false">
      <c r="A49" s="3" t="s">
        <v>16</v>
      </c>
      <c r="B49" s="3" t="s">
        <v>287</v>
      </c>
      <c r="C49" s="4" t="s">
        <v>43</v>
      </c>
      <c r="D49" s="4" t="s">
        <v>34</v>
      </c>
      <c r="E49" s="4" t="s">
        <v>20</v>
      </c>
      <c r="F49" s="4" t="s">
        <v>191</v>
      </c>
      <c r="G49" s="3" t="s">
        <v>282</v>
      </c>
      <c r="H49" s="3" t="s">
        <v>288</v>
      </c>
      <c r="I49" s="3" t="s">
        <v>289</v>
      </c>
      <c r="J49" s="3" t="s">
        <v>290</v>
      </c>
      <c r="K49" s="3" t="s">
        <v>291</v>
      </c>
      <c r="L49" s="3"/>
      <c r="M49" s="3"/>
      <c r="N49" s="3"/>
      <c r="O49" s="3"/>
      <c r="P49" s="5" t="s">
        <v>26</v>
      </c>
    </row>
    <row r="50" customFormat="false" ht="23.25" hidden="false" customHeight="true" outlineLevel="0" collapsed="false">
      <c r="A50" s="3" t="s">
        <v>16</v>
      </c>
      <c r="B50" s="3" t="s">
        <v>292</v>
      </c>
      <c r="C50" s="4" t="s">
        <v>18</v>
      </c>
      <c r="D50" s="4" t="s">
        <v>34</v>
      </c>
      <c r="E50" s="4" t="s">
        <v>35</v>
      </c>
      <c r="F50" s="4" t="s">
        <v>191</v>
      </c>
      <c r="G50" s="3" t="s">
        <v>282</v>
      </c>
      <c r="H50" s="3" t="s">
        <v>293</v>
      </c>
      <c r="I50" s="3" t="s">
        <v>294</v>
      </c>
      <c r="J50" s="3" t="s">
        <v>295</v>
      </c>
      <c r="K50" s="3" t="s">
        <v>296</v>
      </c>
      <c r="L50" s="3" t="s">
        <v>297</v>
      </c>
      <c r="M50" s="3"/>
      <c r="N50" s="3"/>
      <c r="O50" s="3"/>
      <c r="P50" s="5" t="s">
        <v>163</v>
      </c>
    </row>
    <row r="51" customFormat="false" ht="15" hidden="false" customHeight="true" outlineLevel="0" collapsed="false">
      <c r="A51" s="3" t="s">
        <v>16</v>
      </c>
      <c r="B51" s="3" t="s">
        <v>298</v>
      </c>
      <c r="C51" s="4" t="s">
        <v>43</v>
      </c>
      <c r="D51" s="4" t="s">
        <v>60</v>
      </c>
      <c r="E51" s="4" t="s">
        <v>20</v>
      </c>
      <c r="F51" s="4" t="s">
        <v>191</v>
      </c>
      <c r="G51" s="3" t="s">
        <v>282</v>
      </c>
      <c r="H51" s="3" t="s">
        <v>299</v>
      </c>
      <c r="I51" s="3" t="s">
        <v>300</v>
      </c>
      <c r="J51" s="3" t="s">
        <v>301</v>
      </c>
      <c r="K51" s="3" t="s">
        <v>302</v>
      </c>
      <c r="L51" s="3"/>
      <c r="M51" s="3"/>
      <c r="N51" s="3"/>
      <c r="O51" s="3"/>
      <c r="P51" s="5" t="s">
        <v>26</v>
      </c>
    </row>
    <row r="52" customFormat="false" ht="23.25" hidden="false" customHeight="true" outlineLevel="0" collapsed="false"/>
    <row r="53" customFormat="false" ht="34.5" hidden="false" customHeight="true" outlineLevel="0" collapsed="false"/>
    <row r="54" customFormat="false" ht="23.25" hidden="false" customHeight="true" outlineLevel="0" collapsed="false"/>
    <row r="55" customFormat="false" ht="15" hidden="false" customHeight="true" outlineLevel="0" collapsed="false"/>
    <row r="56" customFormat="false" ht="23.25" hidden="false" customHeight="true" outlineLevel="0" collapsed="false"/>
    <row r="57" customFormat="false" ht="34.5" hidden="false" customHeight="true" outlineLevel="0" collapsed="false"/>
    <row r="58" customFormat="false" ht="34.5" hidden="false" customHeight="true" outlineLevel="0" collapsed="false"/>
    <row r="59" customFormat="false" ht="23.25" hidden="false" customHeight="true" outlineLevel="0" collapsed="false"/>
    <row r="60" customFormat="false" ht="34.5" hidden="false" customHeight="true" outlineLevel="0" collapsed="false"/>
    <row r="61" customFormat="false" ht="34.5" hidden="false" customHeight="true" outlineLevel="0" collapsed="false"/>
  </sheetData>
  <autoFilter ref="A1:P61"/>
  <dataValidations count="4">
    <dataValidation allowBlank="true" errorStyle="stop" operator="between" showDropDown="false" showErrorMessage="false" showInputMessage="false" sqref="C2:C1000" type="list">
      <formula1>"Lý thuyết,Bài tập"</formula1>
      <formula2>0</formula2>
    </dataValidation>
    <dataValidation allowBlank="true" errorStyle="stop" operator="between" showDropDown="false" showErrorMessage="false" showInputMessage="false" sqref="D2:D1000" type="list">
      <formula1>"Dễ,Trung bình,Khó"</formula1>
      <formula2>0</formula2>
    </dataValidation>
    <dataValidation allowBlank="true" errorStyle="stop" operator="between" showDropDown="false" showErrorMessage="false" showInputMessage="false" sqref="E2:E1000" type="list">
      <formula1>"Chọn 1,Chọn nhiều"</formula1>
      <formula2>0</formula2>
    </dataValidation>
    <dataValidation allowBlank="true" errorStyle="stop" operator="between" showDropDown="false" showErrorMessage="false" showInputMessage="false" sqref="F2:F1000" type="list">
      <formula1>"Chung,Riêng"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5"/>
  </cols>
  <sheetData>
    <row r="1" customFormat="false" ht="15" hidden="false" customHeight="true" outlineLevel="0" collapsed="false">
      <c r="A1" s="6" t="s">
        <v>303</v>
      </c>
      <c r="B1" s="6" t="s">
        <v>304</v>
      </c>
    </row>
    <row r="2" customFormat="false" ht="15" hidden="false" customHeight="true" outlineLevel="0" collapsed="false">
      <c r="A2" s="7" t="s">
        <v>0</v>
      </c>
      <c r="B2" s="7" t="s">
        <v>305</v>
      </c>
    </row>
    <row r="3" customFormat="false" ht="15" hidden="false" customHeight="true" outlineLevel="0" collapsed="false">
      <c r="A3" s="7" t="s">
        <v>1</v>
      </c>
      <c r="B3" s="7" t="s">
        <v>306</v>
      </c>
    </row>
    <row r="4" customFormat="false" ht="15" hidden="false" customHeight="true" outlineLevel="0" collapsed="false">
      <c r="A4" s="7" t="s">
        <v>2</v>
      </c>
      <c r="B4" s="7" t="s">
        <v>307</v>
      </c>
    </row>
    <row r="5" customFormat="false" ht="15" hidden="false" customHeight="true" outlineLevel="0" collapsed="false">
      <c r="A5" s="7" t="s">
        <v>3</v>
      </c>
      <c r="B5" s="7" t="s">
        <v>308</v>
      </c>
    </row>
    <row r="6" customFormat="false" ht="15" hidden="false" customHeight="true" outlineLevel="0" collapsed="false">
      <c r="A6" s="7" t="s">
        <v>4</v>
      </c>
      <c r="B6" s="7" t="s">
        <v>309</v>
      </c>
    </row>
    <row r="7" customFormat="false" ht="15" hidden="false" customHeight="true" outlineLevel="0" collapsed="false">
      <c r="A7" s="7" t="s">
        <v>5</v>
      </c>
      <c r="B7" s="7" t="s">
        <v>310</v>
      </c>
    </row>
    <row r="8" customFormat="false" ht="23.25" hidden="false" customHeight="true" outlineLevel="0" collapsed="false">
      <c r="A8" s="7" t="s">
        <v>6</v>
      </c>
      <c r="B8" s="7" t="s">
        <v>311</v>
      </c>
    </row>
    <row r="9" customFormat="false" ht="15" hidden="false" customHeight="true" outlineLevel="0" collapsed="false">
      <c r="A9" s="7" t="s">
        <v>312</v>
      </c>
      <c r="B9" s="7" t="s">
        <v>313</v>
      </c>
    </row>
    <row r="10" customFormat="false" ht="15" hidden="false" customHeight="true" outlineLevel="0" collapsed="false">
      <c r="A10" s="7" t="s">
        <v>15</v>
      </c>
      <c r="B10" s="7" t="s">
        <v>314</v>
      </c>
    </row>
    <row r="11" customFormat="false" ht="15" hidden="false" customHeight="true" outlineLevel="0" collapsed="false">
      <c r="A11" s="7"/>
      <c r="B11" s="7"/>
    </row>
    <row r="12" customFormat="false" ht="15" hidden="false" customHeight="true" outlineLevel="0" collapsed="false">
      <c r="A12" s="8" t="s">
        <v>315</v>
      </c>
      <c r="B12" s="7"/>
    </row>
    <row r="13" customFormat="false" ht="15" hidden="false" customHeight="true" outlineLevel="0" collapsed="false">
      <c r="A13" s="8" t="s">
        <v>316</v>
      </c>
      <c r="B13" s="7" t="n">
        <f aca="false">COUNTA(CauHoi!B2:B1000)</f>
        <v>50</v>
      </c>
    </row>
    <row r="14" customFormat="false" ht="15" hidden="false" customHeight="true" outlineLevel="0" collapsed="false">
      <c r="A14" s="8" t="s">
        <v>317</v>
      </c>
      <c r="B14" s="7" t="n">
        <f aca="false">COUNTIF(CauHoi!F2:F1000,"Chung")</f>
        <v>30</v>
      </c>
    </row>
    <row r="15" customFormat="false" ht="15" hidden="false" customHeight="true" outlineLevel="0" collapsed="false">
      <c r="A15" s="8" t="s">
        <v>318</v>
      </c>
      <c r="B15" s="7" t="n">
        <f aca="false">COUNTIF(CauHoi!F2:F1000,"Riêng")</f>
        <v>20</v>
      </c>
    </row>
    <row r="16" customFormat="false" ht="15" hidden="false" customHeight="true" outlineLevel="0" collapsed="false">
      <c r="A16" s="8" t="s">
        <v>319</v>
      </c>
      <c r="B16" s="7" t="n">
        <f aca="false">SUMPRODUCT((CauHoi!G2:G1000&lt;&gt;"")/COUNTIF(CauHoi!G2:G1000,CauHoi!G2:G1000&amp;""))</f>
        <v>5</v>
      </c>
    </row>
    <row r="17" customFormat="false" ht="15" hidden="false" customHeight="true" outlineLevel="0" collapsed="false">
      <c r="A17" s="8" t="s">
        <v>320</v>
      </c>
      <c r="B17" s="7" t="n">
        <f aca="false">COUNTIF(CauHoi!D2:D1000,"Dễ")</f>
        <v>15</v>
      </c>
    </row>
    <row r="18" customFormat="false" ht="15" hidden="false" customHeight="true" outlineLevel="0" collapsed="false">
      <c r="A18" s="8" t="s">
        <v>321</v>
      </c>
      <c r="B18" s="7" t="n">
        <f aca="false">COUNTIF(CauHoi!D2:D1000,"Trung bình")</f>
        <v>25</v>
      </c>
    </row>
    <row r="19" customFormat="false" ht="15" hidden="false" customHeight="true" outlineLevel="0" collapsed="false">
      <c r="A19" s="8" t="s">
        <v>322</v>
      </c>
      <c r="B19" s="7" t="n">
        <f aca="false">COUNTIF(CauHoi!D2:D1000,"Khó")</f>
        <v>10</v>
      </c>
    </row>
    <row r="20" customFormat="false" ht="15" hidden="false" customHeight="true" outlineLevel="0" collapsed="false">
      <c r="A20" s="8" t="s">
        <v>323</v>
      </c>
      <c r="B20" s="7" t="n">
        <f aca="false">COUNTIF(CauHoi!E2:E1000,"Chọn nhiều")</f>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2026-09-28T05:55:15Z</dcterms:created>
  <dc:creator>openpyxl</dc:creator>
  <dc:description/>
  <dc:language>en-US</dc:language>
  <cp:lastModifiedBy/>
  <dcterms:modified xsi:type="dcterms:W3CDTF">2026-10-02T06:39:12Z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