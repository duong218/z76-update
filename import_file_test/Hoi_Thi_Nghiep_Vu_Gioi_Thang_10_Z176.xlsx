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uHoi" sheetId="1" state="visible" r:id="rId3"/>
    <sheet name="HuongDan" sheetId="2" state="visible" r:id="rId4"/>
  </sheets>
  <definedNames>
    <definedName function="false" hidden="true" localSheetId="0" name="_xlnm._FilterDatabase" vbProcedure="false">CauHoi!$A$1:$P$61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<sst xmlns="http://schemas.openxmlformats.org/spreadsheetml/2006/main" count="757" uniqueCount="380">
  <si>
    <t xml:space="preserve">Chủ đề</t>
  </si>
  <si>
    <t xml:space="preserve">Nội dung</t>
  </si>
  <si>
    <t xml:space="preserve">Loại</t>
  </si>
  <si>
    <t xml:space="preserve">Độ khó</t>
  </si>
  <si>
    <t xml:space="preserve">Đáp án</t>
  </si>
  <si>
    <t xml:space="preserve">Phạm vi</t>
  </si>
  <si>
    <t xml:space="preserve">Bộ phận</t>
  </si>
  <si>
    <t xml:space="preserve">Lựa chọn 1</t>
  </si>
  <si>
    <t xml:space="preserve">Lựa chọn 2</t>
  </si>
  <si>
    <t xml:space="preserve">Lựa chọn 3</t>
  </si>
  <si>
    <t xml:space="preserve">Lựa chọn 4</t>
  </si>
  <si>
    <t xml:space="preserve">Lựa chọn 5</t>
  </si>
  <si>
    <t xml:space="preserve">Lựa chọn 6</t>
  </si>
  <si>
    <t xml:space="preserve">Lựa chọn 7</t>
  </si>
  <si>
    <t xml:space="preserve">Lựa chọn 8</t>
  </si>
  <si>
    <t xml:space="preserve">Đáp án đúng</t>
  </si>
  <si>
    <t xml:space="preserve">Hội thi nghiệp vụ giỏi tháng 10</t>
  </si>
  <si>
    <t xml:space="preserve">Hội thi nghiệp vụ giỏi tháng 10 được tổ chức nhằm mục đích chính nào?</t>
  </si>
  <si>
    <t xml:space="preserve">Lý thuyết</t>
  </si>
  <si>
    <t xml:space="preserve">Dễ</t>
  </si>
  <si>
    <t xml:space="preserve">Chọn 1</t>
  </si>
  <si>
    <t xml:space="preserve">Chung</t>
  </si>
  <si>
    <t xml:space="preserve">Chỉ dành cho cán bộ cấp quản lý</t>
  </si>
  <si>
    <t xml:space="preserve">Nâng cao trình độ chuyên môn nghiệp vụ và khuyến khích tinh thần học tập, thi đua trong đơn vị</t>
  </si>
  <si>
    <t xml:space="preserve">Thay thế hoàn toàn việc đánh giá công việc hằng ngày</t>
  </si>
  <si>
    <t xml:space="preserve">Chỉ để lấy thành tích báo cáo cấp trên</t>
  </si>
  <si>
    <t xml:space="preserve">2</t>
  </si>
  <si>
    <t xml:space="preserve">Khi đăng nhập lần đầu bằng mật khẩu tạm thời, hệ thống yêu cầu thí sinh làm gì?</t>
  </si>
  <si>
    <t xml:space="preserve">Bắt buộc đổi sang mật khẩu mới trước khi sử dụng các chức năng khác</t>
  </si>
  <si>
    <t xml:space="preserve">Nộp đơn giấy xin cấp lại tài khoản</t>
  </si>
  <si>
    <t xml:space="preserve">Không yêu cầu gì, dùng mật khẩu tạm mãi mãi</t>
  </si>
  <si>
    <t xml:space="preserve">Nhờ quản trị viên đổi mật khẩu thay</t>
  </si>
  <si>
    <t xml:space="preserve">1</t>
  </si>
  <si>
    <t xml:space="preserve">Những hành vi nào sau đây là vi phạm quy chế thi?</t>
  </si>
  <si>
    <t xml:space="preserve">Trung bình</t>
  </si>
  <si>
    <t xml:space="preserve">Chọn nhiều</t>
  </si>
  <si>
    <t xml:space="preserve">Nhờ người khác thi hộ</t>
  </si>
  <si>
    <t xml:space="preserve">Trao đổi bài với người khác trong khi thi</t>
  </si>
  <si>
    <t xml:space="preserve">Đọc kỹ đề trước khi làm bài</t>
  </si>
  <si>
    <t xml:space="preserve">Kiểm tra lại đáp án trước khi nộp bài</t>
  </si>
  <si>
    <t xml:space="preserve">Sử dụng thiết bị hoặc tài liệu trái phép</t>
  </si>
  <si>
    <t xml:space="preserve">1,2,5</t>
  </si>
  <si>
    <t xml:space="preserve">Trong lúc làm bài thi, hệ thống bảo vệ bài làm của thí sinh khi gặp sự cố như thế nào?</t>
  </si>
  <si>
    <t xml:space="preserve">Chỉ lưu khi có người giám sát xác nhận</t>
  </si>
  <si>
    <t xml:space="preserve">Chỉ lưu khi thí sinh bấm nộp bài</t>
  </si>
  <si>
    <t xml:space="preserve">Không lưu, phải làm lại từ đầu</t>
  </si>
  <si>
    <t xml:space="preserve">Tự động lưu đáp án mỗi khi thí sinh chọn hoặc đổi đáp án (autosave)</t>
  </si>
  <si>
    <t xml:space="preserve">4</t>
  </si>
  <si>
    <t xml:space="preserve">Nếu thí sinh rời khỏi ca thi quá thời gian quy định, hệ thống có thể xử lý ra sao?</t>
  </si>
  <si>
    <t xml:space="preserve">Bài tập</t>
  </si>
  <si>
    <t xml:space="preserve">Tự động cho điểm tối đa</t>
  </si>
  <si>
    <t xml:space="preserve">Tự động nộp bài với các đáp án đã lưu</t>
  </si>
  <si>
    <t xml:space="preserve">Tạm dừng đồng hồ cho đến khi thí sinh quay lại</t>
  </si>
  <si>
    <t xml:space="preserve">Xóa toàn bộ bài làm và cấp lượt mới</t>
  </si>
  <si>
    <t xml:space="preserve">Khi hết thời gian làm bài mà thí sinh chưa bấm nộp thì điều gì xảy ra?</t>
  </si>
  <si>
    <t xml:space="preserve">Hệ thống tự động nộp bài theo các đáp án đã chọn</t>
  </si>
  <si>
    <t xml:space="preserve">Thí sinh được làm tiếp không giới hạn</t>
  </si>
  <si>
    <t xml:space="preserve">Bài thi bị hủy không tính kết quả</t>
  </si>
  <si>
    <t xml:space="preserve">Hệ thống chờ quản trị viên nộp thay</t>
  </si>
  <si>
    <t xml:space="preserve">Khi tài khoản đăng nhập từ nơi khác, phiên đăng nhập cũ sẽ được xử lý thế nào?</t>
  </si>
  <si>
    <t xml:space="preserve">Tự động chuyển toàn bộ bài thi sang phiên mới mà không báo</t>
  </si>
  <si>
    <t xml:space="preserve">Vẫn hoạt động song song không giới hạn</t>
  </si>
  <si>
    <t xml:space="preserve">Bị xóa vĩnh viễn tài khoản</t>
  </si>
  <si>
    <t xml:space="preserve">Bị thu hồi và hiển thị thông báo yêu cầu đăng nhập lại</t>
  </si>
  <si>
    <t xml:space="preserve">Vì sao không được chia sẻ tài khoản và mật khẩu cá nhân cho người khác?</t>
  </si>
  <si>
    <t xml:space="preserve">Vì không có quy định nào về việc này</t>
  </si>
  <si>
    <t xml:space="preserve">Vì mỗi tài khoản chỉ được đăng nhập vào buổi sáng</t>
  </si>
  <si>
    <t xml:space="preserve">Vì mọi thao tác dưới tài khoản đó do chủ tài khoản chịu trách nhiệm và được ghi nhật ký hệ thống</t>
  </si>
  <si>
    <t xml:space="preserve">Vì chia sẻ sẽ làm hệ thống chạy chậm</t>
  </si>
  <si>
    <t xml:space="preserve">3</t>
  </si>
  <si>
    <t xml:space="preserve">Tài liệu có đóng dấu mức độ mật của đơn vị cần được sử dụng và lưu giữ như thế nào?</t>
  </si>
  <si>
    <t xml:space="preserve">Khó</t>
  </si>
  <si>
    <t xml:space="preserve">Chụp ảnh gửi qua ứng dụng nhắn tin cá nhân khi cần gấp</t>
  </si>
  <si>
    <t xml:space="preserve">Sao chép tự do để tiện làm việc tại nhà</t>
  </si>
  <si>
    <t xml:space="preserve">Để nơi công cộng cho ai cũng tra cứu được</t>
  </si>
  <si>
    <t xml:space="preserve">Theo đúng quy định về bảo vệ bí mật nhà nước và phân quyền của đơn vị</t>
  </si>
  <si>
    <t xml:space="preserve">Nhận được email lạ yêu cầu cung cấp mật khẩu để "xác minh tài khoản", thí sinh cần làm gì?</t>
  </si>
  <si>
    <t xml:space="preserve">Trả lời ngay kèm mật khẩu để tránh bị khóa</t>
  </si>
  <si>
    <t xml:space="preserve">Bấm vào mọi đường dẫn trong email để kiểm tra</t>
  </si>
  <si>
    <t xml:space="preserve">Chuyển tiếp email cho toàn bộ đồng nghiệp</t>
  </si>
  <si>
    <t xml:space="preserve">Không cung cấp và báo cho bộ phận công nghệ thông tin hoặc an ninh</t>
  </si>
  <si>
    <t xml:space="preserve">Khi phát hiện đám cháy, người phát hiện đầu tiên cần thực hiện những việc nào?</t>
  </si>
  <si>
    <t xml:space="preserve">Gọi cứu hỏa (114) hoặc bộ phận phòng cháy chữa cháy của đơn vị</t>
  </si>
  <si>
    <t xml:space="preserve">Dừng lại chụp ảnh đăng lên mạng xã hội</t>
  </si>
  <si>
    <t xml:space="preserve">Ngắt điện khu vực nếu điều kiện cho phép an toàn</t>
  </si>
  <si>
    <t xml:space="preserve">Dùng thang máy để thoát ra nhanh hơn</t>
  </si>
  <si>
    <t xml:space="preserve">Hô báo động và thông báo cho mọi người xung quanh</t>
  </si>
  <si>
    <t xml:space="preserve">1,3,5</t>
  </si>
  <si>
    <t xml:space="preserve">Khi thoát nạn trong đám cháy trong tòa nhà, cần di chuyển bằng đường nào?</t>
  </si>
  <si>
    <t xml:space="preserve">Quay lại phòng làm việc lấy đồ cá nhân</t>
  </si>
  <si>
    <t xml:space="preserve">Ở yên trong phòng đóng kín cửa chờ hết cháy</t>
  </si>
  <si>
    <t xml:space="preserve">Thang máy để nhanh nhất</t>
  </si>
  <si>
    <t xml:space="preserve">Cầu thang thoát hiểm, không sử dụng thang máy</t>
  </si>
  <si>
    <t xml:space="preserve">Quy tắc 5S trong quản lý nơi làm việc gồm các bước nào?</t>
  </si>
  <si>
    <t xml:space="preserve">Sửa lỗi – Sao chép – Sắp đặt – Soạn thảo – Suy nghĩ</t>
  </si>
  <si>
    <t xml:space="preserve">Sáng tạo – Sôi nổi – Sâu sát – Sát sao – Sức mạnh</t>
  </si>
  <si>
    <t xml:space="preserve">Sàng lọc – Sắp xếp – Sạch sẽ – Săn sóc – Sẵn sàng</t>
  </si>
  <si>
    <t xml:space="preserve">Sản xuất – Sửa chữa – Sao lưu – Sắp lịch – Sổ sách</t>
  </si>
  <si>
    <t xml:space="preserve">Khi được giao nhiệm vụ nhưng gặp khó khăn vượt quá khả năng xử lý, cán bộ nhân viên nên làm gì?</t>
  </si>
  <si>
    <t xml:space="preserve">Báo cáo kịp thời cho cấp trên trực tiếp để được hỗ trợ, điều chỉnh</t>
  </si>
  <si>
    <t xml:space="preserve">Tự im lặng làm cho xong dù sai</t>
  </si>
  <si>
    <t xml:space="preserve">Bỏ dở công việc chờ được nhắc</t>
  </si>
  <si>
    <t xml:space="preserve">Giao lại cho đồng nghiệp mà không báo ai</t>
  </si>
  <si>
    <t xml:space="preserve">Việc xây dựng ngân hàng câu hỏi có cả câu Chung và câu Riêng theo bộ phận nhằm mục đích gì?</t>
  </si>
  <si>
    <t xml:space="preserve">Để loại bớt bộ phận không cần thi</t>
  </si>
  <si>
    <t xml:space="preserve">Kiểm tra được cả kiến thức chung của đơn vị và nghiệp vụ đặc thù của từng bộ phận</t>
  </si>
  <si>
    <t xml:space="preserve">Để giảm số lượng câu hỏi cần biên soạn xuống còn một nửa</t>
  </si>
  <si>
    <t xml:space="preserve">Để mọi bộ phận có cùng một đề thi giống hệt nhau</t>
  </si>
  <si>
    <t xml:space="preserve">Thí sinh tra cứu kết quả các lần thi của mình ở đâu?</t>
  </si>
  <si>
    <t xml:space="preserve">Chỉ được công bố qua loa phát thanh nội bộ</t>
  </si>
  <si>
    <t xml:space="preserve">Chỉ có thể hỏi trực tiếp phòng nhân sự</t>
  </si>
  <si>
    <t xml:space="preserve">Trong mục Lịch sử kết quả của tài khoản cá nhân</t>
  </si>
  <si>
    <t xml:space="preserve">Không thể tra cứu lại sau khi thi xong</t>
  </si>
  <si>
    <t xml:space="preserve">Chế độ Luyện tập khác thi chính thức ở điểm chính nào?</t>
  </si>
  <si>
    <t xml:space="preserve">Luyện tập không có câu hỏi, chỉ có tài liệu</t>
  </si>
  <si>
    <t xml:space="preserve">Luyện tập tính điểm vào xếp loại thi đua cuối năm</t>
  </si>
  <si>
    <t xml:space="preserve">Luyện tập dùng chung đề với kỳ thi chính thức</t>
  </si>
  <si>
    <t xml:space="preserve">Luyện tập cho xem đáp án đúng và kết quả không tính vào thống kê thi chính thức</t>
  </si>
  <si>
    <t xml:space="preserve">Ở chế độ luyện tập "kiểm tra ngay", sau khi bấm kiểm tra một câu thì điều gì xảy ra với câu đó?</t>
  </si>
  <si>
    <t xml:space="preserve">Câu hỏi bị xóa khỏi bài luyện</t>
  </si>
  <si>
    <t xml:space="preserve">Hệ thống hiển thị đáp án đúng và khóa đáp án, không cho sửa lại lựa chọn</t>
  </si>
  <si>
    <t xml:space="preserve">Cho phép đổi đáp án không giới hạn để được điểm cao nhất</t>
  </si>
  <si>
    <t xml:space="preserve">Hệ thống tự động nộp cả bài luyện</t>
  </si>
  <si>
    <t xml:space="preserve">Sau khi làm xong một bài luyện tập, cách sử dụng kết quả hiệu quả nhất là gì?</t>
  </si>
  <si>
    <t xml:space="preserve">Bỏ qua kết quả, chỉ quan tâm điểm số</t>
  </si>
  <si>
    <t xml:space="preserve">Không cần ôn lại vì đã làm xong</t>
  </si>
  <si>
    <t xml:space="preserve">Xem lại các câu sai, đối chiếu tài liệu ôn tập để hiểu nguyên nhân</t>
  </si>
  <si>
    <t xml:space="preserve">Ghi nhớ đáp án theo vị trí A, B, C, D</t>
  </si>
  <si>
    <t xml:space="preserve">Cần gửi một tài liệu nội bộ cho đối tác bên ngoài, trước khi gửi phải làm gì?</t>
  </si>
  <si>
    <t xml:space="preserve">Xin phê duyệt của người có thẩm quyền và kiểm tra mức độ mật của tài liệu</t>
  </si>
  <si>
    <t xml:space="preserve">Không cần kiểm tra vì đối tác đã quen biết</t>
  </si>
  <si>
    <t xml:space="preserve">Chỉ cần báo miệng cho đồng nghiệp cùng phòng</t>
  </si>
  <si>
    <t xml:space="preserve">Gửi ngay qua email cá nhân cho nhanh</t>
  </si>
  <si>
    <t xml:space="preserve">Trang bị bảo hộ lao động cá nhân (PPE) có tác dụng chính nào?</t>
  </si>
  <si>
    <t xml:space="preserve">Riêng</t>
  </si>
  <si>
    <t xml:space="preserve">An toàn lao động</t>
  </si>
  <si>
    <t xml:space="preserve">Thay thế hoàn toàn các biện pháp an toàn kỹ thuật</t>
  </si>
  <si>
    <t xml:space="preserve">Giúp tăng tốc độ làm việc của máy móc</t>
  </si>
  <si>
    <t xml:space="preserve">Giảm nguy cơ chấn thương và bệnh nghề nghiệp khi làm việc</t>
  </si>
  <si>
    <t xml:space="preserve">Chỉ có tác dụng làm đồng phục cho đẹp</t>
  </si>
  <si>
    <t xml:space="preserve">Trước khi vận hành máy, người lao động cần thực hiện những việc nào?</t>
  </si>
  <si>
    <t xml:space="preserve">Nắm rõ quy trình vận hành an toàn</t>
  </si>
  <si>
    <t xml:space="preserve">Vô hiệu hóa nút dừng khẩn cấp</t>
  </si>
  <si>
    <t xml:space="preserve">Mặc trang bị bảo hộ phù hợp</t>
  </si>
  <si>
    <t xml:space="preserve">Tháo cơ cấu che chắn để làm nhanh hơn</t>
  </si>
  <si>
    <t xml:space="preserve">Kiểm tra tình trạng máy và các thiết bị che chắn, bảo vệ</t>
  </si>
  <si>
    <t xml:space="preserve">Quy trình khóa – gắn thẻ (LOTO) được áp dụng khi nào?</t>
  </si>
  <si>
    <t xml:space="preserve">Khi cần tăng công suất máy</t>
  </si>
  <si>
    <t xml:space="preserve">Chỉ khi có đoàn kiểm tra đến</t>
  </si>
  <si>
    <t xml:space="preserve">Khi sửa chữa, bảo trì để cô lập nguồn năng lượng, tránh máy khởi động bất ngờ</t>
  </si>
  <si>
    <t xml:space="preserve">Khi kết thúc ca làm việc để khóa cửa kho</t>
  </si>
  <si>
    <t xml:space="preserve">Phát hiện đồng nghiệp bị điện giật, việc đầu tiên cần làm là gì?</t>
  </si>
  <si>
    <t xml:space="preserve">Tạt nước vào nạn nhân để giải nhiệt</t>
  </si>
  <si>
    <t xml:space="preserve">Dùng tay không kéo ngay nạn nhân ra khỏi nguồn điện</t>
  </si>
  <si>
    <t xml:space="preserve">Chờ đến hết ca rồi báo cáo</t>
  </si>
  <si>
    <t xml:space="preserve">Ngắt nguồn điện (hoặc dùng vật cách điện tách nạn nhân) rồi mới sơ cứu, gọi cấp cứu</t>
  </si>
  <si>
    <t xml:space="preserve">Mật khẩu được coi là mạnh khi đáp ứng điều kiện nào?</t>
  </si>
  <si>
    <t xml:space="preserve">Công nghệ thông tin</t>
  </si>
  <si>
    <t xml:space="preserve">Dùng chuỗi "123456" cho mọi tài khoản</t>
  </si>
  <si>
    <t xml:space="preserve">Đủ dài, kết hợp chữ hoa, chữ thường, số, ký tự đặc biệt và không dùng thông tin cá nhân dễ đoán</t>
  </si>
  <si>
    <t xml:space="preserve">Dùng ngày sinh của bản thân cho dễ nhớ</t>
  </si>
  <si>
    <t xml:space="preserve">Ngắn gọn 4 ký tự để gõ nhanh</t>
  </si>
  <si>
    <t xml:space="preserve">Nguyên tắc sao lưu dữ liệu 3-2-1 có nghĩa là gì?</t>
  </si>
  <si>
    <t xml:space="preserve">3 ổ cứng cắm cùng một máy, lưu trong 2 ngày, giữ 1 tuần</t>
  </si>
  <si>
    <t xml:space="preserve">3 bản sao dữ liệu, trên 2 loại phương tiện khác nhau, trong đó 1 bản lưu ở nơi khác</t>
  </si>
  <si>
    <t xml:space="preserve">1 bản sao chính, 2 bản nháp, 3 bản xóa</t>
  </si>
  <si>
    <t xml:space="preserve">Sao lưu 3 lần mỗi năm, 2 lần mỗi tháng, 1 lần mỗi ngày</t>
  </si>
  <si>
    <t xml:space="preserve">Những biện pháp nào giúp phòng chống tấn công lừa đảo (phishing)?</t>
  </si>
  <si>
    <t xml:space="preserve">Bật xác thực đa yếu tố (MFA)</t>
  </si>
  <si>
    <t xml:space="preserve">Không mở tệp đính kèm không rõ nguồn gốc</t>
  </si>
  <si>
    <t xml:space="preserve">Trả lời email lạ kèm mật khẩu để xác minh</t>
  </si>
  <si>
    <t xml:space="preserve">Kiểm tra địa chỉ người gửi và đường dẫn trước khi bấm</t>
  </si>
  <si>
    <t xml:space="preserve">Tắt phần mềm diệt virus cho máy chạy nhanh</t>
  </si>
  <si>
    <t xml:space="preserve">1,2,4</t>
  </si>
  <si>
    <t xml:space="preserve">Máy chủ ứng dụng gặp sự cố ngay sau đợt cập nhật, cách xử lý đúng là gì?</t>
  </si>
  <si>
    <t xml:space="preserve">Tắt hẳn hệ thống và không thông báo cho ai</t>
  </si>
  <si>
    <t xml:space="preserve">Xóa nhật ký hệ thống để không bị phát hiện</t>
  </si>
  <si>
    <t xml:space="preserve">Tiếp tục cập nhật thêm bản mới lên hệ thống chính khi chưa kiểm thử</t>
  </si>
  <si>
    <t xml:space="preserve">Khôi phục (rollback) về bản ổn định trước đó, ghi nhận sự cố và phân tích nguyên nhân</t>
  </si>
  <si>
    <t xml:space="preserve">Văn bản nào ghi nhận thỏa thuận về công việc, tiền lương, quyền và nghĩa vụ giữa người lao động và người sử dụng lao động?</t>
  </si>
  <si>
    <t xml:space="preserve">Hành chính - Nhân sự</t>
  </si>
  <si>
    <t xml:space="preserve">Phiếu đề nghị mua văn phòng phẩm</t>
  </si>
  <si>
    <t xml:space="preserve">Biên bản vệ sinh văn phòng</t>
  </si>
  <si>
    <t xml:space="preserve">Hợp đồng lao động</t>
  </si>
  <si>
    <t xml:space="preserve">Thông báo họp giao ban</t>
  </si>
  <si>
    <t xml:space="preserve">Quy trình xử lý công văn đến thông thường gồm các bước nào?</t>
  </si>
  <si>
    <t xml:space="preserve">Lưu vào ngăn kéo, chờ có người hỏi mới xử lý</t>
  </si>
  <si>
    <t xml:space="preserve">Hủy công văn nếu chưa đọc kịp</t>
  </si>
  <si>
    <t xml:space="preserve">Đăng ký vào sổ (hoặc hệ thống) công văn đến, trình lãnh đạo cho ý kiến rồi chuyển bộ phận thực hiện</t>
  </si>
  <si>
    <t xml:space="preserve">Chuyển thẳng cho người quen mà không đăng ký</t>
  </si>
  <si>
    <t xml:space="preserve">Yêu cầu nào đúng khi quản lý hồ sơ cá nhân của người lao động?</t>
  </si>
  <si>
    <t xml:space="preserve">Cập nhật kịp thời khi có thay đổi</t>
  </si>
  <si>
    <t xml:space="preserve">Đảm bảo bảo mật thông tin</t>
  </si>
  <si>
    <t xml:space="preserve">Để ở nơi ai cũng lấy được cho tiện</t>
  </si>
  <si>
    <t xml:space="preserve">Chỉ người có thẩm quyền mới được truy cập</t>
  </si>
  <si>
    <t xml:space="preserve">Công khai cho toàn thể nhân viên xem</t>
  </si>
  <si>
    <t xml:space="preserve">Khi giải quyết đơn thư khiếu nại của người lao động, nguyên tắc nào sau đây là đúng?</t>
  </si>
  <si>
    <t xml:space="preserve">Tiếp nhận, xác minh khách quan, giữ bí mật thông tin và trả lời đúng thời hạn</t>
  </si>
  <si>
    <t xml:space="preserve">Chỉ giải quyết khi có áp lực từ bên ngoài</t>
  </si>
  <si>
    <t xml:space="preserve">Bỏ qua nếu người khiếu nại là nhân viên mới</t>
  </si>
  <si>
    <t xml:space="preserve">Công khai tên người khiếu nại cho cả đơn vị</t>
  </si>
  <si>
    <t xml:space="preserve">Phương trình kế toán cơ bản được biểu diễn như thế nào?</t>
  </si>
  <si>
    <t xml:space="preserve">Kế toán</t>
  </si>
  <si>
    <t xml:space="preserve">Nợ phải trả = Tài sản + Vốn chủ sở hữu</t>
  </si>
  <si>
    <t xml:space="preserve">Vốn chủ sở hữu = Tài sản + Nợ phải trả</t>
  </si>
  <si>
    <t xml:space="preserve">Tài sản = Nợ phải trả + Vốn chủ sở hữu</t>
  </si>
  <si>
    <t xml:space="preserve">Tài sản = Doanh thu – Chi phí</t>
  </si>
  <si>
    <t xml:space="preserve">Khi chi tiền mặt, bộ chứng từ cần có những gì?</t>
  </si>
  <si>
    <t xml:space="preserve">Chỉ cần ảnh chụp tin nhắn xác nhận</t>
  </si>
  <si>
    <t xml:space="preserve">Chỉ cần lời đề nghị bằng miệng</t>
  </si>
  <si>
    <t xml:space="preserve">Phiếu chi kèm chứng từ gốc hợp lệ và chữ ký đủ thẩm quyền</t>
  </si>
  <si>
    <t xml:space="preserve">Không cần chứng từ nếu số tiền nhỏ</t>
  </si>
  <si>
    <t xml:space="preserve">Điều kiện nào sau đây phải có để hóa đơn, chứng từ được coi là hợp lệ?</t>
  </si>
  <si>
    <t xml:space="preserve">Có thể bổ sung nội dung sau khi quyết toán</t>
  </si>
  <si>
    <t xml:space="preserve">Ghi đầy đủ các nội dung bắt buộc</t>
  </si>
  <si>
    <t xml:space="preserve">Không tẩy xóa, sửa chữa trái quy định</t>
  </si>
  <si>
    <t xml:space="preserve">Chỉ cần có chữ ký miệng của người bán</t>
  </si>
  <si>
    <t xml:space="preserve">Đúng tên và mã số thuế của đơn vị</t>
  </si>
  <si>
    <t xml:space="preserve">2,3,5</t>
  </si>
  <si>
    <t xml:space="preserve">Số dư tiền gửi ngân hàng trên sổ kế toán khác với sao kê ngân hàng cuối tháng, cần làm gì?</t>
  </si>
  <si>
    <t xml:space="preserve">Bỏ qua vì chênh lệch luôn tự mất đi</t>
  </si>
  <si>
    <t xml:space="preserve">Sửa số liệu sổ cho khớp sao kê mà không tìm nguyên nhân</t>
  </si>
  <si>
    <t xml:space="preserve">Xóa các giao dịch gây chênh lệch</t>
  </si>
  <si>
    <t xml:space="preserve">Lập bảng đối chiếu, tìm nguyên nhân chênh lệch rồi điều chỉnh theo đúng quy định</t>
  </si>
  <si>
    <t xml:space="preserve">Dụng cụ nào thường dùng để đo đường kính ngoài, đường kính trong và chiều sâu chi tiết với độ chính xác cao?</t>
  </si>
  <si>
    <t xml:space="preserve">Kỹ thuật cơ khí</t>
  </si>
  <si>
    <t xml:space="preserve">Nhiệt kế</t>
  </si>
  <si>
    <t xml:space="preserve">Thước cặp</t>
  </si>
  <si>
    <t xml:space="preserve">Cân điện tử</t>
  </si>
  <si>
    <t xml:space="preserve">Thước dây vải</t>
  </si>
  <si>
    <t xml:space="preserve">Vai trò chính của việc bôi trơn trong bảo dưỡng máy là gì?</t>
  </si>
  <si>
    <t xml:space="preserve">Thay thế hoàn toàn việc kiểm tra định kỳ</t>
  </si>
  <si>
    <t xml:space="preserve">Giảm ma sát, hao mòn và tản nhiệt cho các chi tiết chuyển động</t>
  </si>
  <si>
    <t xml:space="preserve">Chỉ để làm sạch vỏ máy</t>
  </si>
  <si>
    <t xml:space="preserve">Làm tăng ma sát để máy chạy chắc hơn</t>
  </si>
  <si>
    <t xml:space="preserve">Bảo dưỡng định kỳ thiết bị mang lại những lợi ích nào?</t>
  </si>
  <si>
    <t xml:space="preserve">Không cần lập kế hoạch, làm khi nào nhớ thì làm</t>
  </si>
  <si>
    <t xml:space="preserve">Làm tăng số lần dừng máy đột xuất</t>
  </si>
  <si>
    <t xml:space="preserve">Duy trì độ chính xác và an toàn khi vận hành</t>
  </si>
  <si>
    <t xml:space="preserve">Giảm nguy cơ hỏng hóc đột xuất</t>
  </si>
  <si>
    <t xml:space="preserve">Kéo dài tuổi thọ thiết bị</t>
  </si>
  <si>
    <t xml:space="preserve">3,4,5</t>
  </si>
  <si>
    <t xml:space="preserve">Khi siết bulông theo yêu cầu kỹ thuật, cần làm như thế nào là đúng?</t>
  </si>
  <si>
    <t xml:space="preserve">Dùng cờ lê lực, siết theo trị số mô-men và thứ tự của nhà sản xuất</t>
  </si>
  <si>
    <t xml:space="preserve">Siết hết lực bằng ống nối dài cho chắc</t>
  </si>
  <si>
    <t xml:space="preserve">Siết một bulông thật chặt rồi mới siết các bulông còn lại</t>
  </si>
  <si>
    <t xml:space="preserve">Siết theo cảm giác của người thợ giàu kinh nghiệm</t>
  </si>
  <si>
    <t xml:space="preserve">Định mức lao động là gì?</t>
  </si>
  <si>
    <t xml:space="preserve">Tổ chức lao động</t>
  </si>
  <si>
    <t xml:space="preserve">Số lượng nhân viên tối đa của đơn vị</t>
  </si>
  <si>
    <t xml:space="preserve">Mức hao phí lao động quy định để hoàn thành một đơn vị sản phẩm hoặc công việc theo tiêu chuẩn kỹ thuật, tổ chức, điều kiện cụ thể</t>
  </si>
  <si>
    <t xml:space="preserve">Mức lương tối thiểu vùng do Nhà nước quy định</t>
  </si>
  <si>
    <t xml:space="preserve">Số ngày nghỉ phép tối thiểu của người lao động</t>
  </si>
  <si>
    <t xml:space="preserve">Theo Bộ luật Lao động 2019, thời giờ làm việc bình thường không quá bao nhiêu?</t>
  </si>
  <si>
    <t xml:space="preserve">08 giờ trong 01 ngày và 48 giờ trong 01 tuần</t>
  </si>
  <si>
    <t xml:space="preserve">10 giờ trong 01 ngày và 60 giờ trong 01 tuần</t>
  </si>
  <si>
    <t xml:space="preserve">06 giờ trong 01 ngày và 30 giờ trong 01 tuần</t>
  </si>
  <si>
    <t xml:space="preserve">12 giờ trong 01 ngày và 72 giờ trong 01 tuần</t>
  </si>
  <si>
    <t xml:space="preserve">Theo Bộ luật Lao động 2019, tiền lương làm thêm giờ vào ngày thường tối thiểu bằng bao nhiêu so với tiền lương giờ làm việc bình thường?</t>
  </si>
  <si>
    <t xml:space="preserve">120%</t>
  </si>
  <si>
    <t xml:space="preserve">100%</t>
  </si>
  <si>
    <t xml:space="preserve">150%</t>
  </si>
  <si>
    <t xml:space="preserve">200%</t>
  </si>
  <si>
    <t xml:space="preserve">Khi định biên lao động cho một dây chuyền sản xuất, cần căn cứ vào những yếu tố nào?</t>
  </si>
  <si>
    <t xml:space="preserve">Quy trình công nghệ và mức độ phức tạp của công việc</t>
  </si>
  <si>
    <t xml:space="preserve">Khối lượng, kế hoạch sản xuất</t>
  </si>
  <si>
    <t xml:space="preserve">Định mức lao động</t>
  </si>
  <si>
    <t xml:space="preserve">Ý thích cá nhân của trưởng ca</t>
  </si>
  <si>
    <t xml:space="preserve">Số lượng người quen được giới thiệu</t>
  </si>
  <si>
    <t xml:space="preserve">1,2,3</t>
  </si>
  <si>
    <t xml:space="preserve">Chứng từ nào dùng để ghi nhận vật tư nhập vào kho?</t>
  </si>
  <si>
    <t xml:space="preserve">Vật tư sản xuất</t>
  </si>
  <si>
    <t xml:space="preserve">Phiếu lương</t>
  </si>
  <si>
    <t xml:space="preserve">Biên bản họp giao ban</t>
  </si>
  <si>
    <t xml:space="preserve">Phiếu xuất kho</t>
  </si>
  <si>
    <t xml:space="preserve">Phiếu nhập kho</t>
  </si>
  <si>
    <t xml:space="preserve">Nguyên tắc FIFO trong xuất kho vật tư là gì?</t>
  </si>
  <si>
    <t xml:space="preserve">Nhập trước xuất trước, tránh tồn đọng và hết hạn sử dụng</t>
  </si>
  <si>
    <t xml:space="preserve">Nhập sau xuất trước, để vật tư cũ nằm mãi trong kho</t>
  </si>
  <si>
    <t xml:space="preserve">Xuất vật tư có giá cao nhất trước</t>
  </si>
  <si>
    <t xml:space="preserve">Xuất theo ý muốn của thủ kho</t>
  </si>
  <si>
    <t xml:space="preserve">Khi nhận vật tư nhập kho, cần kiểm tra những nội dung nào?</t>
  </si>
  <si>
    <t xml:space="preserve">Chỉ đếm số thùng bên ngoài, không kiểm tra bên trong</t>
  </si>
  <si>
    <t xml:space="preserve">Hạn sử dụng (nếu có) và tình trạng bao bì</t>
  </si>
  <si>
    <t xml:space="preserve">Chất lượng, quy cách</t>
  </si>
  <si>
    <t xml:space="preserve">Nhận luôn không cần đối chiếu chứng từ</t>
  </si>
  <si>
    <t xml:space="preserve">Số lượng, chủng loại đối chiếu với chứng từ</t>
  </si>
  <si>
    <t xml:space="preserve">Kiểm kê kho phát hiện thiếu vật tư so với sổ sách, cách xử lý đúng là gì?</t>
  </si>
  <si>
    <t xml:space="preserve">Tự ý sửa số liệu trên sổ cho khớp thực tế</t>
  </si>
  <si>
    <t xml:space="preserve">Bổ sung vật tư mua ngoài mà không ghi chép</t>
  </si>
  <si>
    <t xml:space="preserve">Lập biên bản kiểm kê, xác định nguyên nhân và đề xuất xử lý theo quy định</t>
  </si>
  <si>
    <t xml:space="preserve">Giấu số liệu để không bị quy trách nhiệm</t>
  </si>
  <si>
    <t xml:space="preserve">KPI là viết tắt của cụm từ nào và có ý nghĩa gì?</t>
  </si>
  <si>
    <t xml:space="preserve">kế hoạch kinh doanh</t>
  </si>
  <si>
    <t xml:space="preserve">Key Performance Indicator – chỉ số đo lường hiệu suất chính</t>
  </si>
  <si>
    <t xml:space="preserve">Knowledge Plan Index – chỉ số kế hoạch kiến thức</t>
  </si>
  <si>
    <t xml:space="preserve">Key Product Inventory – tồn kho sản phẩm chính</t>
  </si>
  <si>
    <t xml:space="preserve">Keep Profit Increasing – luôn tăng lợi nhuận</t>
  </si>
  <si>
    <t xml:space="preserve">Trong mục tiêu SMART, chữ "M" có nghĩa là gì?</t>
  </si>
  <si>
    <t xml:space="preserve">Measurable – đo lường được</t>
  </si>
  <si>
    <t xml:space="preserve">Mandatory – bắt buộc</t>
  </si>
  <si>
    <t xml:space="preserve">Manageable – dễ quản lý nhất</t>
  </si>
  <si>
    <t xml:space="preserve">Modern – hiện đại</t>
  </si>
  <si>
    <t xml:space="preserve">Cơ sở nào dùng để lập kế hoạch kinh doanh năm?</t>
  </si>
  <si>
    <t xml:space="preserve">Ước đoán ngẫu nhiên không có số liệu</t>
  </si>
  <si>
    <t xml:space="preserve">Sao chép nguyên kế hoạch của đơn vị khác</t>
  </si>
  <si>
    <t xml:space="preserve">Kết quả thực hiện của năm trước</t>
  </si>
  <si>
    <t xml:space="preserve">Năng lực nguồn lực thực tế của đơn vị</t>
  </si>
  <si>
    <t xml:space="preserve">Nhu cầu thị trường và các hợp đồng đã ký</t>
  </si>
  <si>
    <t xml:space="preserve">Doanh thu thực hiện quý chỉ đạt 80% kế hoạch, cách xử lý phù hợp là gì?</t>
  </si>
  <si>
    <t xml:space="preserve">Chờ sang năm sau mới xem xét</t>
  </si>
  <si>
    <t xml:space="preserve">Phân tích nguyên nhân chênh lệch, điều chỉnh biện pháp và báo cáo cấp có thẩm quyền</t>
  </si>
  <si>
    <t xml:space="preserve">Điều chỉnh số liệu báo cáo cho bằng kế hoạch</t>
  </si>
  <si>
    <t xml:space="preserve">Bỏ qua và giữ nguyên cách làm cũ</t>
  </si>
  <si>
    <t xml:space="preserve">Dòng tiền (cash flow) của doanh nghiệp là gì?</t>
  </si>
  <si>
    <t xml:space="preserve">tài chính kế toán</t>
  </si>
  <si>
    <t xml:space="preserve">Tổng giá trị tài sản cố định</t>
  </si>
  <si>
    <t xml:space="preserve">Sự luân chuyển tiền vào và tiền ra của doanh nghiệp trong một kỳ</t>
  </si>
  <si>
    <t xml:space="preserve">Lợi nhuận sau thuế cuối năm</t>
  </si>
  <si>
    <t xml:space="preserve">Số lượng nhân viên của doanh nghiệp</t>
  </si>
  <si>
    <t xml:space="preserve">Tỷ số thanh toán hiện hành được tính bằng công thức nào?</t>
  </si>
  <si>
    <t xml:space="preserve">Tài sản ngắn hạn / Nợ ngắn hạn</t>
  </si>
  <si>
    <t xml:space="preserve">Nợ ngắn hạn / Tài sản ngắn hạn</t>
  </si>
  <si>
    <t xml:space="preserve">Lợi nhuận / Doanh thu</t>
  </si>
  <si>
    <t xml:space="preserve">Vốn chủ sở hữu / Tổng tài sản</t>
  </si>
  <si>
    <t xml:space="preserve">Khi lập dự toán ngân sách cần đảm bảo những điều kiện nào?</t>
  </si>
  <si>
    <t xml:space="preserve">Ghi số tùy ý cho đủ hồ sơ</t>
  </si>
  <si>
    <t xml:space="preserve">Căn cứ vào kế hoạch hoạt động và định mức chi</t>
  </si>
  <si>
    <t xml:space="preserve">Tham khảo số liệu thực hiện của kỳ trước</t>
  </si>
  <si>
    <t xml:space="preserve">Không cần phê duyệt, tự thực hiện</t>
  </si>
  <si>
    <t xml:space="preserve">Được cấp có thẩm quyền phê duyệt</t>
  </si>
  <si>
    <t xml:space="preserve">Lợi nhuận kế toán dương nhưng đơn vị lại thiếu tiền mặt, nguyên nhân thường gặp là gì?</t>
  </si>
  <si>
    <t xml:space="preserve">Do lợi nhuận dương thì chắc chắn có tiền</t>
  </si>
  <si>
    <t xml:space="preserve">Doanh thu đã ghi nhận nhưng chưa thu tiền (phải thu tăng) hoặc vốn bị chôn trong hàng tồn kho</t>
  </si>
  <si>
    <t xml:space="preserve">Do sổ sách kế toán luôn sai</t>
  </si>
  <si>
    <t xml:space="preserve">Do đơn vị có quá nhiều tiền mặt dư thừa</t>
  </si>
  <si>
    <t xml:space="preserve">Test case (ca kiểm thử) là gì?</t>
  </si>
  <si>
    <t xml:space="preserve">Phòng test</t>
  </si>
  <si>
    <t xml:space="preserve">Bản vẽ thiết kế giao diện người dùng</t>
  </si>
  <si>
    <t xml:space="preserve">Tập hợp điều kiện, dữ liệu đầu vào, các bước thực hiện và kết quả mong đợi để kiểm tra một chức năng</t>
  </si>
  <si>
    <t xml:space="preserve">Danh sách nhân sự của dự án</t>
  </si>
  <si>
    <t xml:space="preserve">Hợp đồng bảo trì phần mềm</t>
  </si>
  <si>
    <t xml:space="preserve">Một báo cáo lỗi (bug report) tốt cần có những nội dung nào?</t>
  </si>
  <si>
    <t xml:space="preserve">Không cần ghi phiên bản đang kiểm thử</t>
  </si>
  <si>
    <t xml:space="preserve">Các bước tái hiện lỗi rõ ràng</t>
  </si>
  <si>
    <t xml:space="preserve">Kết quả thực tế so với kết quả mong đợi</t>
  </si>
  <si>
    <t xml:space="preserve">Môi trường, phiên bản và mức độ nghiêm trọng</t>
  </si>
  <si>
    <t xml:space="preserve">Chỉ ghi "phần mềm bị lỗi"</t>
  </si>
  <si>
    <t xml:space="preserve">2,3,4</t>
  </si>
  <si>
    <t xml:space="preserve">Kiểm thử hồi quy (regression testing) nhằm mục đích gì?</t>
  </si>
  <si>
    <t xml:space="preserve">Đảm bảo các thay đổi hoặc bản sửa lỗi mới không làm hỏng chức năng đã hoạt động</t>
  </si>
  <si>
    <t xml:space="preserve">Thay thế hoàn toàn việc viết mã nguồn</t>
  </si>
  <si>
    <t xml:space="preserve">Kiểm tra tốc độ mạng của người dùng</t>
  </si>
  <si>
    <t xml:space="preserve">Chỉ kiểm tra giao diện có đẹp hay không</t>
  </si>
  <si>
    <t xml:space="preserve">Phát hiện lỗi mức nghiêm trọng cao sát ngày phát hành, cách xử lý đúng là gì?</t>
  </si>
  <si>
    <t xml:space="preserve">Tự ý đổi mức độ nghiêm trọng thành thấp</t>
  </si>
  <si>
    <t xml:space="preserve">Báo cáo ngay cho các bên liên quan kèm bằng chứng để quyết định sửa hoặc hoãn phát hành</t>
  </si>
  <si>
    <t xml:space="preserve">Giấu lỗi để kịp tiến độ phát hành</t>
  </si>
  <si>
    <t xml:space="preserve">Chờ người dùng phát hiện rồi sửa sau</t>
  </si>
  <si>
    <t xml:space="preserve">Cột</t>
  </si>
  <si>
    <t xml:space="preserve">Giải thích</t>
  </si>
  <si>
    <t xml:space="preserve">Toàn bộ file dùng chung 1 chủ đề: "Hội thi nghiệp vụ giỏi tháng 10".</t>
  </si>
  <si>
    <t xml:space="preserve">Nội dung câu hỏi.</t>
  </si>
  <si>
    <t xml:space="preserve">Lý thuyết hoặc Bài tập.</t>
  </si>
  <si>
    <t xml:space="preserve">Dễ / Trung bình / Khó.</t>
  </si>
  <si>
    <t xml:space="preserve">Chọn 1 (single) hoặc Chọn nhiều (multiple).</t>
  </si>
  <si>
    <t xml:space="preserve">Chung (mọi bộ phận) hoặc Riêng (thuộc 1 bộ phận cụ thể).</t>
  </si>
  <si>
    <t xml:space="preserve">Bắt buộc nếu Phạm vi = Riêng. Phải là tên bộ phận ĐÃ TỒN TẠI trong hệ thống (đúng chính tả, kể cả chữ hoa/thường).</t>
  </si>
  <si>
    <t xml:space="preserve">Lựa chọn 1-8</t>
  </si>
  <si>
    <t xml:space="preserve">Nội dung các phương án trả lời.</t>
  </si>
  <si>
    <t xml:space="preserve">Số thứ tự phương án đúng, cách nhau dấu , hoặc ; (vd: 2 hoặc 1,3).</t>
  </si>
  <si>
    <t xml:space="preserve">Thống kê file này</t>
  </si>
  <si>
    <t xml:space="preserve">Tổng số câu</t>
  </si>
  <si>
    <t xml:space="preserve">Câu Chung</t>
  </si>
  <si>
    <t xml:space="preserve">Câu Riêng</t>
  </si>
  <si>
    <t xml:space="preserve">Số bộ phận có câu Riêng</t>
  </si>
  <si>
    <t xml:space="preserve">Câu Dễ</t>
  </si>
  <si>
    <t xml:space="preserve">Câu Trung bình</t>
  </si>
  <si>
    <t xml:space="preserve">Câu Khó</t>
  </si>
  <si>
    <t xml:space="preserve">Câu Chọn nhiều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</si>
</sst>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15" min="8" style="0" width="34"/>
    <col collapsed="false" customWidth="true" hidden="false" outlineLevel="0" max="16" min="16" style="0" width="12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s">
        <v>16</v>
      </c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2"/>
      <c r="H2" s="2" t="s">
        <v>22</v>
      </c>
      <c r="I2" s="2" t="s">
        <v>23</v>
      </c>
      <c r="J2" s="2" t="s">
        <v>24</v>
      </c>
      <c r="K2" s="2" t="s">
        <v>25</v>
      </c>
      <c r="L2" s="2"/>
      <c r="M2" s="2"/>
      <c r="N2" s="2"/>
      <c r="O2" s="2"/>
      <c r="P2" s="4" t="s">
        <v>26</v>
      </c>
    </row>
    <row r="3" customFormat="false" ht="23.85" hidden="false" customHeight="false" outlineLevel="0" collapsed="false">
      <c r="A3" s="2" t="s">
        <v>16</v>
      </c>
      <c r="B3" s="2" t="s">
        <v>27</v>
      </c>
      <c r="C3" s="3" t="s">
        <v>18</v>
      </c>
      <c r="D3" s="3" t="s">
        <v>19</v>
      </c>
      <c r="E3" s="3" t="s">
        <v>20</v>
      </c>
      <c r="F3" s="3" t="s">
        <v>21</v>
      </c>
      <c r="G3" s="2"/>
      <c r="H3" s="2" t="s">
        <v>28</v>
      </c>
      <c r="I3" s="2" t="s">
        <v>29</v>
      </c>
      <c r="J3" s="2" t="s">
        <v>30</v>
      </c>
      <c r="K3" s="2" t="s">
        <v>31</v>
      </c>
      <c r="L3" s="2"/>
      <c r="M3" s="2"/>
      <c r="N3" s="2"/>
      <c r="O3" s="2"/>
      <c r="P3" s="4" t="s">
        <v>32</v>
      </c>
    </row>
    <row r="4" customFormat="false" ht="15" hidden="false" customHeight="false" outlineLevel="0" collapsed="false">
      <c r="A4" s="2" t="s">
        <v>16</v>
      </c>
      <c r="B4" s="2" t="s">
        <v>33</v>
      </c>
      <c r="C4" s="3" t="s">
        <v>18</v>
      </c>
      <c r="D4" s="3" t="s">
        <v>34</v>
      </c>
      <c r="E4" s="3" t="s">
        <v>35</v>
      </c>
      <c r="F4" s="3" t="s">
        <v>21</v>
      </c>
      <c r="G4" s="2"/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/>
      <c r="N4" s="2"/>
      <c r="O4" s="2"/>
      <c r="P4" s="4" t="s">
        <v>41</v>
      </c>
    </row>
    <row r="5" customFormat="false" ht="23.85" hidden="false" customHeight="false" outlineLevel="0" collapsed="false">
      <c r="A5" s="2" t="s">
        <v>16</v>
      </c>
      <c r="B5" s="2" t="s">
        <v>42</v>
      </c>
      <c r="C5" s="3" t="s">
        <v>18</v>
      </c>
      <c r="D5" s="3" t="s">
        <v>19</v>
      </c>
      <c r="E5" s="3" t="s">
        <v>20</v>
      </c>
      <c r="F5" s="3" t="s">
        <v>21</v>
      </c>
      <c r="G5" s="2"/>
      <c r="H5" s="2" t="s">
        <v>43</v>
      </c>
      <c r="I5" s="2" t="s">
        <v>44</v>
      </c>
      <c r="J5" s="2" t="s">
        <v>45</v>
      </c>
      <c r="K5" s="2" t="s">
        <v>46</v>
      </c>
      <c r="L5" s="2"/>
      <c r="M5" s="2"/>
      <c r="N5" s="2"/>
      <c r="O5" s="2"/>
      <c r="P5" s="4" t="s">
        <v>47</v>
      </c>
    </row>
    <row r="6" customFormat="false" ht="23.85" hidden="false" customHeight="false" outlineLevel="0" collapsed="false">
      <c r="A6" s="2" t="s">
        <v>16</v>
      </c>
      <c r="B6" s="2" t="s">
        <v>48</v>
      </c>
      <c r="C6" s="3" t="s">
        <v>49</v>
      </c>
      <c r="D6" s="3" t="s">
        <v>34</v>
      </c>
      <c r="E6" s="3" t="s">
        <v>20</v>
      </c>
      <c r="F6" s="3" t="s">
        <v>21</v>
      </c>
      <c r="G6" s="2"/>
      <c r="H6" s="2" t="s">
        <v>50</v>
      </c>
      <c r="I6" s="2" t="s">
        <v>51</v>
      </c>
      <c r="J6" s="2" t="s">
        <v>52</v>
      </c>
      <c r="K6" s="2" t="s">
        <v>53</v>
      </c>
      <c r="L6" s="2"/>
      <c r="M6" s="2"/>
      <c r="N6" s="2"/>
      <c r="O6" s="2"/>
      <c r="P6" s="4" t="s">
        <v>26</v>
      </c>
    </row>
    <row r="7" customFormat="false" ht="23.85" hidden="false" customHeight="false" outlineLevel="0" collapsed="false">
      <c r="A7" s="2" t="s">
        <v>16</v>
      </c>
      <c r="B7" s="2" t="s">
        <v>54</v>
      </c>
      <c r="C7" s="3" t="s">
        <v>49</v>
      </c>
      <c r="D7" s="3" t="s">
        <v>19</v>
      </c>
      <c r="E7" s="3" t="s">
        <v>20</v>
      </c>
      <c r="F7" s="3" t="s">
        <v>21</v>
      </c>
      <c r="G7" s="2"/>
      <c r="H7" s="2" t="s">
        <v>55</v>
      </c>
      <c r="I7" s="2" t="s">
        <v>56</v>
      </c>
      <c r="J7" s="2" t="s">
        <v>57</v>
      </c>
      <c r="K7" s="2" t="s">
        <v>58</v>
      </c>
      <c r="L7" s="2"/>
      <c r="M7" s="2"/>
      <c r="N7" s="2"/>
      <c r="O7" s="2"/>
      <c r="P7" s="4" t="s">
        <v>32</v>
      </c>
    </row>
    <row r="8" customFormat="false" ht="23.85" hidden="false" customHeight="false" outlineLevel="0" collapsed="false">
      <c r="A8" s="2" t="s">
        <v>16</v>
      </c>
      <c r="B8" s="2" t="s">
        <v>59</v>
      </c>
      <c r="C8" s="3" t="s">
        <v>18</v>
      </c>
      <c r="D8" s="3" t="s">
        <v>34</v>
      </c>
      <c r="E8" s="3" t="s">
        <v>20</v>
      </c>
      <c r="F8" s="3" t="s">
        <v>21</v>
      </c>
      <c r="G8" s="2"/>
      <c r="H8" s="2" t="s">
        <v>60</v>
      </c>
      <c r="I8" s="2" t="s">
        <v>61</v>
      </c>
      <c r="J8" s="2" t="s">
        <v>62</v>
      </c>
      <c r="K8" s="2" t="s">
        <v>63</v>
      </c>
      <c r="L8" s="2"/>
      <c r="M8" s="2"/>
      <c r="N8" s="2"/>
      <c r="O8" s="2"/>
      <c r="P8" s="4" t="s">
        <v>47</v>
      </c>
    </row>
    <row r="9" customFormat="false" ht="35.05" hidden="false" customHeight="false" outlineLevel="0" collapsed="false">
      <c r="A9" s="2" t="s">
        <v>16</v>
      </c>
      <c r="B9" s="2" t="s">
        <v>64</v>
      </c>
      <c r="C9" s="3" t="s">
        <v>18</v>
      </c>
      <c r="D9" s="3" t="s">
        <v>34</v>
      </c>
      <c r="E9" s="3" t="s">
        <v>20</v>
      </c>
      <c r="F9" s="3" t="s">
        <v>21</v>
      </c>
      <c r="G9" s="2"/>
      <c r="H9" s="2" t="s">
        <v>65</v>
      </c>
      <c r="I9" s="2" t="s">
        <v>66</v>
      </c>
      <c r="J9" s="2" t="s">
        <v>67</v>
      </c>
      <c r="K9" s="2" t="s">
        <v>68</v>
      </c>
      <c r="L9" s="2"/>
      <c r="M9" s="2"/>
      <c r="N9" s="2"/>
      <c r="O9" s="2"/>
      <c r="P9" s="4" t="s">
        <v>69</v>
      </c>
    </row>
    <row r="10" customFormat="false" ht="23.85" hidden="false" customHeight="false" outlineLevel="0" collapsed="false">
      <c r="A10" s="2" t="s">
        <v>16</v>
      </c>
      <c r="B10" s="2" t="s">
        <v>70</v>
      </c>
      <c r="C10" s="3" t="s">
        <v>18</v>
      </c>
      <c r="D10" s="3" t="s">
        <v>71</v>
      </c>
      <c r="E10" s="3" t="s">
        <v>20</v>
      </c>
      <c r="F10" s="3" t="s">
        <v>21</v>
      </c>
      <c r="G10" s="2"/>
      <c r="H10" s="2" t="s">
        <v>72</v>
      </c>
      <c r="I10" s="2" t="s">
        <v>73</v>
      </c>
      <c r="J10" s="2" t="s">
        <v>74</v>
      </c>
      <c r="K10" s="2" t="s">
        <v>75</v>
      </c>
      <c r="L10" s="2"/>
      <c r="M10" s="2"/>
      <c r="N10" s="2"/>
      <c r="O10" s="2"/>
      <c r="P10" s="4" t="s">
        <v>47</v>
      </c>
    </row>
    <row r="11" customFormat="false" ht="23.85" hidden="false" customHeight="false" outlineLevel="0" collapsed="false">
      <c r="A11" s="2" t="s">
        <v>16</v>
      </c>
      <c r="B11" s="2" t="s">
        <v>76</v>
      </c>
      <c r="C11" s="3" t="s">
        <v>49</v>
      </c>
      <c r="D11" s="3" t="s">
        <v>19</v>
      </c>
      <c r="E11" s="3" t="s">
        <v>20</v>
      </c>
      <c r="F11" s="3" t="s">
        <v>21</v>
      </c>
      <c r="G11" s="2"/>
      <c r="H11" s="2" t="s">
        <v>77</v>
      </c>
      <c r="I11" s="2" t="s">
        <v>78</v>
      </c>
      <c r="J11" s="2" t="s">
        <v>79</v>
      </c>
      <c r="K11" s="2" t="s">
        <v>80</v>
      </c>
      <c r="L11" s="2"/>
      <c r="M11" s="2"/>
      <c r="N11" s="2"/>
      <c r="O11" s="2"/>
      <c r="P11" s="4" t="s">
        <v>47</v>
      </c>
    </row>
    <row r="12" customFormat="false" ht="23.85" hidden="false" customHeight="false" outlineLevel="0" collapsed="false">
      <c r="A12" s="2" t="s">
        <v>16</v>
      </c>
      <c r="B12" s="2" t="s">
        <v>81</v>
      </c>
      <c r="C12" s="3" t="s">
        <v>49</v>
      </c>
      <c r="D12" s="3" t="s">
        <v>34</v>
      </c>
      <c r="E12" s="3" t="s">
        <v>35</v>
      </c>
      <c r="F12" s="3" t="s">
        <v>21</v>
      </c>
      <c r="G12" s="2"/>
      <c r="H12" s="2" t="s">
        <v>82</v>
      </c>
      <c r="I12" s="2" t="s">
        <v>83</v>
      </c>
      <c r="J12" s="2" t="s">
        <v>84</v>
      </c>
      <c r="K12" s="2" t="s">
        <v>85</v>
      </c>
      <c r="L12" s="2" t="s">
        <v>86</v>
      </c>
      <c r="M12" s="2"/>
      <c r="N12" s="2"/>
      <c r="O12" s="2"/>
      <c r="P12" s="4" t="s">
        <v>87</v>
      </c>
    </row>
    <row r="13" customFormat="false" ht="23.85" hidden="false" customHeight="false" outlineLevel="0" collapsed="false">
      <c r="A13" s="2" t="s">
        <v>16</v>
      </c>
      <c r="B13" s="2" t="s">
        <v>88</v>
      </c>
      <c r="C13" s="3" t="s">
        <v>18</v>
      </c>
      <c r="D13" s="3" t="s">
        <v>19</v>
      </c>
      <c r="E13" s="3" t="s">
        <v>20</v>
      </c>
      <c r="F13" s="3" t="s">
        <v>21</v>
      </c>
      <c r="G13" s="2"/>
      <c r="H13" s="2" t="s">
        <v>89</v>
      </c>
      <c r="I13" s="2" t="s">
        <v>90</v>
      </c>
      <c r="J13" s="2" t="s">
        <v>91</v>
      </c>
      <c r="K13" s="2" t="s">
        <v>92</v>
      </c>
      <c r="L13" s="2"/>
      <c r="M13" s="2"/>
      <c r="N13" s="2"/>
      <c r="O13" s="2"/>
      <c r="P13" s="4" t="s">
        <v>47</v>
      </c>
    </row>
    <row r="14" customFormat="false" ht="23.85" hidden="false" customHeight="false" outlineLevel="0" collapsed="false">
      <c r="A14" s="2" t="s">
        <v>16</v>
      </c>
      <c r="B14" s="2" t="s">
        <v>93</v>
      </c>
      <c r="C14" s="3" t="s">
        <v>18</v>
      </c>
      <c r="D14" s="3" t="s">
        <v>19</v>
      </c>
      <c r="E14" s="3" t="s">
        <v>20</v>
      </c>
      <c r="F14" s="3" t="s">
        <v>21</v>
      </c>
      <c r="G14" s="2"/>
      <c r="H14" s="2" t="s">
        <v>94</v>
      </c>
      <c r="I14" s="2" t="s">
        <v>95</v>
      </c>
      <c r="J14" s="2" t="s">
        <v>96</v>
      </c>
      <c r="K14" s="2" t="s">
        <v>97</v>
      </c>
      <c r="L14" s="2"/>
      <c r="M14" s="2"/>
      <c r="N14" s="2"/>
      <c r="O14" s="2"/>
      <c r="P14" s="4" t="s">
        <v>69</v>
      </c>
    </row>
    <row r="15" customFormat="false" ht="23.85" hidden="false" customHeight="false" outlineLevel="0" collapsed="false">
      <c r="A15" s="2" t="s">
        <v>16</v>
      </c>
      <c r="B15" s="2" t="s">
        <v>98</v>
      </c>
      <c r="C15" s="3" t="s">
        <v>49</v>
      </c>
      <c r="D15" s="3" t="s">
        <v>19</v>
      </c>
      <c r="E15" s="3" t="s">
        <v>20</v>
      </c>
      <c r="F15" s="3" t="s">
        <v>21</v>
      </c>
      <c r="G15" s="2"/>
      <c r="H15" s="2" t="s">
        <v>99</v>
      </c>
      <c r="I15" s="2" t="s">
        <v>100</v>
      </c>
      <c r="J15" s="2" t="s">
        <v>101</v>
      </c>
      <c r="K15" s="2" t="s">
        <v>102</v>
      </c>
      <c r="L15" s="2"/>
      <c r="M15" s="2"/>
      <c r="N15" s="2"/>
      <c r="O15" s="2"/>
      <c r="P15" s="4" t="s">
        <v>32</v>
      </c>
    </row>
    <row r="16" customFormat="false" ht="35.05" hidden="false" customHeight="false" outlineLevel="0" collapsed="false">
      <c r="A16" s="2" t="s">
        <v>16</v>
      </c>
      <c r="B16" s="2" t="s">
        <v>103</v>
      </c>
      <c r="C16" s="3" t="s">
        <v>18</v>
      </c>
      <c r="D16" s="3" t="s">
        <v>34</v>
      </c>
      <c r="E16" s="3" t="s">
        <v>20</v>
      </c>
      <c r="F16" s="3" t="s">
        <v>21</v>
      </c>
      <c r="G16" s="2"/>
      <c r="H16" s="2" t="s">
        <v>104</v>
      </c>
      <c r="I16" s="2" t="s">
        <v>105</v>
      </c>
      <c r="J16" s="2" t="s">
        <v>106</v>
      </c>
      <c r="K16" s="2" t="s">
        <v>107</v>
      </c>
      <c r="L16" s="2"/>
      <c r="M16" s="2"/>
      <c r="N16" s="2"/>
      <c r="O16" s="2"/>
      <c r="P16" s="4" t="s">
        <v>26</v>
      </c>
    </row>
    <row r="17" customFormat="false" ht="23.85" hidden="false" customHeight="false" outlineLevel="0" collapsed="false">
      <c r="A17" s="2" t="s">
        <v>16</v>
      </c>
      <c r="B17" s="2" t="s">
        <v>108</v>
      </c>
      <c r="C17" s="3" t="s">
        <v>18</v>
      </c>
      <c r="D17" s="3" t="s">
        <v>19</v>
      </c>
      <c r="E17" s="3" t="s">
        <v>20</v>
      </c>
      <c r="F17" s="3" t="s">
        <v>21</v>
      </c>
      <c r="G17" s="2"/>
      <c r="H17" s="2" t="s">
        <v>109</v>
      </c>
      <c r="I17" s="2" t="s">
        <v>110</v>
      </c>
      <c r="J17" s="2" t="s">
        <v>111</v>
      </c>
      <c r="K17" s="2" t="s">
        <v>112</v>
      </c>
      <c r="L17" s="2"/>
      <c r="M17" s="2"/>
      <c r="N17" s="2"/>
      <c r="O17" s="2"/>
      <c r="P17" s="4" t="s">
        <v>69</v>
      </c>
    </row>
    <row r="18" customFormat="false" ht="35.05" hidden="false" customHeight="false" outlineLevel="0" collapsed="false">
      <c r="A18" s="2" t="s">
        <v>16</v>
      </c>
      <c r="B18" s="2" t="s">
        <v>113</v>
      </c>
      <c r="C18" s="3" t="s">
        <v>18</v>
      </c>
      <c r="D18" s="3" t="s">
        <v>34</v>
      </c>
      <c r="E18" s="3" t="s">
        <v>20</v>
      </c>
      <c r="F18" s="3" t="s">
        <v>21</v>
      </c>
      <c r="G18" s="2"/>
      <c r="H18" s="2" t="s">
        <v>114</v>
      </c>
      <c r="I18" s="2" t="s">
        <v>115</v>
      </c>
      <c r="J18" s="2" t="s">
        <v>116</v>
      </c>
      <c r="K18" s="2" t="s">
        <v>117</v>
      </c>
      <c r="L18" s="2"/>
      <c r="M18" s="2"/>
      <c r="N18" s="2"/>
      <c r="O18" s="2"/>
      <c r="P18" s="4" t="s">
        <v>47</v>
      </c>
    </row>
    <row r="19" customFormat="false" ht="23.85" hidden="false" customHeight="false" outlineLevel="0" collapsed="false">
      <c r="A19" s="2" t="s">
        <v>16</v>
      </c>
      <c r="B19" s="2" t="s">
        <v>118</v>
      </c>
      <c r="C19" s="3" t="s">
        <v>49</v>
      </c>
      <c r="D19" s="3" t="s">
        <v>71</v>
      </c>
      <c r="E19" s="3" t="s">
        <v>20</v>
      </c>
      <c r="F19" s="3" t="s">
        <v>21</v>
      </c>
      <c r="G19" s="2"/>
      <c r="H19" s="2" t="s">
        <v>119</v>
      </c>
      <c r="I19" s="2" t="s">
        <v>120</v>
      </c>
      <c r="J19" s="2" t="s">
        <v>121</v>
      </c>
      <c r="K19" s="2" t="s">
        <v>122</v>
      </c>
      <c r="L19" s="2"/>
      <c r="M19" s="2"/>
      <c r="N19" s="2"/>
      <c r="O19" s="2"/>
      <c r="P19" s="4" t="s">
        <v>26</v>
      </c>
    </row>
    <row r="20" customFormat="false" ht="23.85" hidden="false" customHeight="false" outlineLevel="0" collapsed="false">
      <c r="A20" s="2" t="s">
        <v>16</v>
      </c>
      <c r="B20" s="2" t="s">
        <v>123</v>
      </c>
      <c r="C20" s="3" t="s">
        <v>49</v>
      </c>
      <c r="D20" s="3" t="s">
        <v>34</v>
      </c>
      <c r="E20" s="3" t="s">
        <v>20</v>
      </c>
      <c r="F20" s="3" t="s">
        <v>21</v>
      </c>
      <c r="G20" s="2"/>
      <c r="H20" s="2" t="s">
        <v>124</v>
      </c>
      <c r="I20" s="2" t="s">
        <v>125</v>
      </c>
      <c r="J20" s="2" t="s">
        <v>126</v>
      </c>
      <c r="K20" s="2" t="s">
        <v>127</v>
      </c>
      <c r="L20" s="2"/>
      <c r="M20" s="2"/>
      <c r="N20" s="2"/>
      <c r="O20" s="2"/>
      <c r="P20" s="4" t="s">
        <v>69</v>
      </c>
    </row>
    <row r="21" customFormat="false" ht="23.85" hidden="false" customHeight="false" outlineLevel="0" collapsed="false">
      <c r="A21" s="2" t="s">
        <v>16</v>
      </c>
      <c r="B21" s="2" t="s">
        <v>128</v>
      </c>
      <c r="C21" s="3" t="s">
        <v>49</v>
      </c>
      <c r="D21" s="3" t="s">
        <v>71</v>
      </c>
      <c r="E21" s="3" t="s">
        <v>20</v>
      </c>
      <c r="F21" s="3" t="s">
        <v>21</v>
      </c>
      <c r="G21" s="2"/>
      <c r="H21" s="2" t="s">
        <v>129</v>
      </c>
      <c r="I21" s="2" t="s">
        <v>130</v>
      </c>
      <c r="J21" s="2" t="s">
        <v>131</v>
      </c>
      <c r="K21" s="2" t="s">
        <v>132</v>
      </c>
      <c r="L21" s="2"/>
      <c r="M21" s="2"/>
      <c r="N21" s="2"/>
      <c r="O21" s="2"/>
      <c r="P21" s="4" t="s">
        <v>32</v>
      </c>
    </row>
    <row r="22" customFormat="false" ht="23.85" hidden="false" customHeight="false" outlineLevel="0" collapsed="false">
      <c r="A22" s="2" t="s">
        <v>16</v>
      </c>
      <c r="B22" s="2" t="s">
        <v>133</v>
      </c>
      <c r="C22" s="3" t="s">
        <v>18</v>
      </c>
      <c r="D22" s="3" t="s">
        <v>19</v>
      </c>
      <c r="E22" s="3" t="s">
        <v>20</v>
      </c>
      <c r="F22" s="3" t="s">
        <v>134</v>
      </c>
      <c r="G22" s="2" t="s">
        <v>135</v>
      </c>
      <c r="H22" s="2" t="s">
        <v>136</v>
      </c>
      <c r="I22" s="2" t="s">
        <v>137</v>
      </c>
      <c r="J22" s="2" t="s">
        <v>138</v>
      </c>
      <c r="K22" s="2" t="s">
        <v>139</v>
      </c>
      <c r="L22" s="2"/>
      <c r="M22" s="2"/>
      <c r="N22" s="2"/>
      <c r="O22" s="2"/>
      <c r="P22" s="4" t="s">
        <v>69</v>
      </c>
    </row>
    <row r="23" customFormat="false" ht="23.85" hidden="false" customHeight="false" outlineLevel="0" collapsed="false">
      <c r="A23" s="2" t="s">
        <v>16</v>
      </c>
      <c r="B23" s="2" t="s">
        <v>140</v>
      </c>
      <c r="C23" s="3" t="s">
        <v>49</v>
      </c>
      <c r="D23" s="3" t="s">
        <v>34</v>
      </c>
      <c r="E23" s="3" t="s">
        <v>35</v>
      </c>
      <c r="F23" s="3" t="s">
        <v>134</v>
      </c>
      <c r="G23" s="2" t="s">
        <v>135</v>
      </c>
      <c r="H23" s="2" t="s">
        <v>141</v>
      </c>
      <c r="I23" s="2" t="s">
        <v>142</v>
      </c>
      <c r="J23" s="2" t="s">
        <v>143</v>
      </c>
      <c r="K23" s="2" t="s">
        <v>144</v>
      </c>
      <c r="L23" s="2" t="s">
        <v>145</v>
      </c>
      <c r="M23" s="2"/>
      <c r="N23" s="2"/>
      <c r="O23" s="2"/>
      <c r="P23" s="4" t="s">
        <v>87</v>
      </c>
    </row>
    <row r="24" customFormat="false" ht="35.05" hidden="false" customHeight="false" outlineLevel="0" collapsed="false">
      <c r="A24" s="2" t="s">
        <v>16</v>
      </c>
      <c r="B24" s="2" t="s">
        <v>146</v>
      </c>
      <c r="C24" s="3" t="s">
        <v>18</v>
      </c>
      <c r="D24" s="3" t="s">
        <v>34</v>
      </c>
      <c r="E24" s="3" t="s">
        <v>20</v>
      </c>
      <c r="F24" s="3" t="s">
        <v>134</v>
      </c>
      <c r="G24" s="2" t="s">
        <v>135</v>
      </c>
      <c r="H24" s="2" t="s">
        <v>147</v>
      </c>
      <c r="I24" s="2" t="s">
        <v>148</v>
      </c>
      <c r="J24" s="2" t="s">
        <v>149</v>
      </c>
      <c r="K24" s="2" t="s">
        <v>150</v>
      </c>
      <c r="L24" s="2"/>
      <c r="M24" s="2"/>
      <c r="N24" s="2"/>
      <c r="O24" s="2"/>
      <c r="P24" s="4" t="s">
        <v>69</v>
      </c>
    </row>
    <row r="25" customFormat="false" ht="35.05" hidden="false" customHeight="false" outlineLevel="0" collapsed="false">
      <c r="A25" s="2" t="s">
        <v>16</v>
      </c>
      <c r="B25" s="2" t="s">
        <v>151</v>
      </c>
      <c r="C25" s="3" t="s">
        <v>49</v>
      </c>
      <c r="D25" s="3" t="s">
        <v>71</v>
      </c>
      <c r="E25" s="3" t="s">
        <v>20</v>
      </c>
      <c r="F25" s="3" t="s">
        <v>134</v>
      </c>
      <c r="G25" s="2" t="s">
        <v>135</v>
      </c>
      <c r="H25" s="2" t="s">
        <v>152</v>
      </c>
      <c r="I25" s="2" t="s">
        <v>153</v>
      </c>
      <c r="J25" s="2" t="s">
        <v>154</v>
      </c>
      <c r="K25" s="2" t="s">
        <v>155</v>
      </c>
      <c r="L25" s="2"/>
      <c r="M25" s="2"/>
      <c r="N25" s="2"/>
      <c r="O25" s="2"/>
      <c r="P25" s="4" t="s">
        <v>47</v>
      </c>
    </row>
    <row r="26" customFormat="false" ht="35.05" hidden="false" customHeight="false" outlineLevel="0" collapsed="false">
      <c r="A26" s="2" t="s">
        <v>16</v>
      </c>
      <c r="B26" s="2" t="s">
        <v>156</v>
      </c>
      <c r="C26" s="3" t="s">
        <v>18</v>
      </c>
      <c r="D26" s="3" t="s">
        <v>19</v>
      </c>
      <c r="E26" s="3" t="s">
        <v>20</v>
      </c>
      <c r="F26" s="3" t="s">
        <v>134</v>
      </c>
      <c r="G26" s="2" t="s">
        <v>157</v>
      </c>
      <c r="H26" s="2" t="s">
        <v>158</v>
      </c>
      <c r="I26" s="2" t="s">
        <v>159</v>
      </c>
      <c r="J26" s="2" t="s">
        <v>160</v>
      </c>
      <c r="K26" s="2" t="s">
        <v>161</v>
      </c>
      <c r="L26" s="2"/>
      <c r="M26" s="2"/>
      <c r="N26" s="2"/>
      <c r="O26" s="2"/>
      <c r="P26" s="4" t="s">
        <v>26</v>
      </c>
    </row>
    <row r="27" customFormat="false" ht="23.85" hidden="false" customHeight="false" outlineLevel="0" collapsed="false">
      <c r="A27" s="2" t="s">
        <v>16</v>
      </c>
      <c r="B27" s="2" t="s">
        <v>162</v>
      </c>
      <c r="C27" s="3" t="s">
        <v>49</v>
      </c>
      <c r="D27" s="3" t="s">
        <v>34</v>
      </c>
      <c r="E27" s="3" t="s">
        <v>20</v>
      </c>
      <c r="F27" s="3" t="s">
        <v>134</v>
      </c>
      <c r="G27" s="2" t="s">
        <v>157</v>
      </c>
      <c r="H27" s="2" t="s">
        <v>163</v>
      </c>
      <c r="I27" s="2" t="s">
        <v>164</v>
      </c>
      <c r="J27" s="2" t="s">
        <v>165</v>
      </c>
      <c r="K27" s="2" t="s">
        <v>166</v>
      </c>
      <c r="L27" s="2"/>
      <c r="M27" s="2"/>
      <c r="N27" s="2"/>
      <c r="O27" s="2"/>
      <c r="P27" s="4" t="s">
        <v>26</v>
      </c>
    </row>
    <row r="28" customFormat="false" ht="23.85" hidden="false" customHeight="false" outlineLevel="0" collapsed="false">
      <c r="A28" s="2" t="s">
        <v>16</v>
      </c>
      <c r="B28" s="2" t="s">
        <v>167</v>
      </c>
      <c r="C28" s="3" t="s">
        <v>18</v>
      </c>
      <c r="D28" s="3" t="s">
        <v>34</v>
      </c>
      <c r="E28" s="3" t="s">
        <v>35</v>
      </c>
      <c r="F28" s="3" t="s">
        <v>134</v>
      </c>
      <c r="G28" s="2" t="s">
        <v>157</v>
      </c>
      <c r="H28" s="2" t="s">
        <v>168</v>
      </c>
      <c r="I28" s="2" t="s">
        <v>169</v>
      </c>
      <c r="J28" s="2" t="s">
        <v>170</v>
      </c>
      <c r="K28" s="2" t="s">
        <v>171</v>
      </c>
      <c r="L28" s="2" t="s">
        <v>172</v>
      </c>
      <c r="M28" s="2"/>
      <c r="N28" s="2"/>
      <c r="O28" s="2"/>
      <c r="P28" s="4" t="s">
        <v>173</v>
      </c>
    </row>
    <row r="29" customFormat="false" ht="35.05" hidden="false" customHeight="false" outlineLevel="0" collapsed="false">
      <c r="A29" s="2" t="s">
        <v>16</v>
      </c>
      <c r="B29" s="2" t="s">
        <v>174</v>
      </c>
      <c r="C29" s="3" t="s">
        <v>49</v>
      </c>
      <c r="D29" s="3" t="s">
        <v>71</v>
      </c>
      <c r="E29" s="3" t="s">
        <v>20</v>
      </c>
      <c r="F29" s="3" t="s">
        <v>134</v>
      </c>
      <c r="G29" s="2" t="s">
        <v>157</v>
      </c>
      <c r="H29" s="2" t="s">
        <v>175</v>
      </c>
      <c r="I29" s="2" t="s">
        <v>176</v>
      </c>
      <c r="J29" s="2" t="s">
        <v>177</v>
      </c>
      <c r="K29" s="2" t="s">
        <v>178</v>
      </c>
      <c r="L29" s="2"/>
      <c r="M29" s="2"/>
      <c r="N29" s="2"/>
      <c r="O29" s="2"/>
      <c r="P29" s="4" t="s">
        <v>47</v>
      </c>
    </row>
    <row r="30" customFormat="false" ht="23.85" hidden="false" customHeight="false" outlineLevel="0" collapsed="false">
      <c r="A30" s="2" t="s">
        <v>16</v>
      </c>
      <c r="B30" s="2" t="s">
        <v>179</v>
      </c>
      <c r="C30" s="3" t="s">
        <v>18</v>
      </c>
      <c r="D30" s="3" t="s">
        <v>19</v>
      </c>
      <c r="E30" s="3" t="s">
        <v>20</v>
      </c>
      <c r="F30" s="3" t="s">
        <v>134</v>
      </c>
      <c r="G30" s="2" t="s">
        <v>180</v>
      </c>
      <c r="H30" s="2" t="s">
        <v>181</v>
      </c>
      <c r="I30" s="2" t="s">
        <v>182</v>
      </c>
      <c r="J30" s="2" t="s">
        <v>183</v>
      </c>
      <c r="K30" s="2" t="s">
        <v>184</v>
      </c>
      <c r="L30" s="2"/>
      <c r="M30" s="2"/>
      <c r="N30" s="2"/>
      <c r="O30" s="2"/>
      <c r="P30" s="4" t="s">
        <v>69</v>
      </c>
    </row>
    <row r="31" customFormat="false" ht="35.05" hidden="false" customHeight="false" outlineLevel="0" collapsed="false">
      <c r="A31" s="2" t="s">
        <v>16</v>
      </c>
      <c r="B31" s="2" t="s">
        <v>185</v>
      </c>
      <c r="C31" s="3" t="s">
        <v>49</v>
      </c>
      <c r="D31" s="3" t="s">
        <v>34</v>
      </c>
      <c r="E31" s="3" t="s">
        <v>20</v>
      </c>
      <c r="F31" s="3" t="s">
        <v>134</v>
      </c>
      <c r="G31" s="2" t="s">
        <v>180</v>
      </c>
      <c r="H31" s="2" t="s">
        <v>186</v>
      </c>
      <c r="I31" s="2" t="s">
        <v>187</v>
      </c>
      <c r="J31" s="2" t="s">
        <v>188</v>
      </c>
      <c r="K31" s="2" t="s">
        <v>189</v>
      </c>
      <c r="L31" s="2"/>
      <c r="M31" s="2"/>
      <c r="N31" s="2"/>
      <c r="O31" s="2"/>
      <c r="P31" s="4" t="s">
        <v>69</v>
      </c>
    </row>
    <row r="32" customFormat="false" ht="23.85" hidden="false" customHeight="false" outlineLevel="0" collapsed="false">
      <c r="A32" s="2" t="s">
        <v>16</v>
      </c>
      <c r="B32" s="2" t="s">
        <v>190</v>
      </c>
      <c r="C32" s="3" t="s">
        <v>18</v>
      </c>
      <c r="D32" s="3" t="s">
        <v>34</v>
      </c>
      <c r="E32" s="3" t="s">
        <v>35</v>
      </c>
      <c r="F32" s="3" t="s">
        <v>134</v>
      </c>
      <c r="G32" s="2" t="s">
        <v>180</v>
      </c>
      <c r="H32" s="2" t="s">
        <v>191</v>
      </c>
      <c r="I32" s="2" t="s">
        <v>192</v>
      </c>
      <c r="J32" s="2" t="s">
        <v>193</v>
      </c>
      <c r="K32" s="2" t="s">
        <v>194</v>
      </c>
      <c r="L32" s="2" t="s">
        <v>195</v>
      </c>
      <c r="M32" s="2"/>
      <c r="N32" s="2"/>
      <c r="O32" s="2"/>
      <c r="P32" s="4" t="s">
        <v>173</v>
      </c>
    </row>
    <row r="33" customFormat="false" ht="23.85" hidden="false" customHeight="false" outlineLevel="0" collapsed="false">
      <c r="A33" s="2" t="s">
        <v>16</v>
      </c>
      <c r="B33" s="2" t="s">
        <v>196</v>
      </c>
      <c r="C33" s="3" t="s">
        <v>49</v>
      </c>
      <c r="D33" s="3" t="s">
        <v>71</v>
      </c>
      <c r="E33" s="3" t="s">
        <v>20</v>
      </c>
      <c r="F33" s="3" t="s">
        <v>134</v>
      </c>
      <c r="G33" s="2" t="s">
        <v>180</v>
      </c>
      <c r="H33" s="2" t="s">
        <v>197</v>
      </c>
      <c r="I33" s="2" t="s">
        <v>198</v>
      </c>
      <c r="J33" s="2" t="s">
        <v>199</v>
      </c>
      <c r="K33" s="2" t="s">
        <v>200</v>
      </c>
      <c r="L33" s="2"/>
      <c r="M33" s="2"/>
      <c r="N33" s="2"/>
      <c r="O33" s="2"/>
      <c r="P33" s="4" t="s">
        <v>32</v>
      </c>
    </row>
    <row r="34" customFormat="false" ht="15" hidden="false" customHeight="false" outlineLevel="0" collapsed="false">
      <c r="A34" s="2" t="s">
        <v>16</v>
      </c>
      <c r="B34" s="2" t="s">
        <v>201</v>
      </c>
      <c r="C34" s="3" t="s">
        <v>18</v>
      </c>
      <c r="D34" s="3" t="s">
        <v>19</v>
      </c>
      <c r="E34" s="3" t="s">
        <v>20</v>
      </c>
      <c r="F34" s="3" t="s">
        <v>134</v>
      </c>
      <c r="G34" s="2" t="s">
        <v>202</v>
      </c>
      <c r="H34" s="2" t="s">
        <v>203</v>
      </c>
      <c r="I34" s="2" t="s">
        <v>204</v>
      </c>
      <c r="J34" s="2" t="s">
        <v>205</v>
      </c>
      <c r="K34" s="2" t="s">
        <v>206</v>
      </c>
      <c r="L34" s="2"/>
      <c r="M34" s="2"/>
      <c r="N34" s="2"/>
      <c r="O34" s="2"/>
      <c r="P34" s="4" t="s">
        <v>69</v>
      </c>
    </row>
    <row r="35" customFormat="false" ht="23.85" hidden="false" customHeight="false" outlineLevel="0" collapsed="false">
      <c r="A35" s="2" t="s">
        <v>16</v>
      </c>
      <c r="B35" s="2" t="s">
        <v>207</v>
      </c>
      <c r="C35" s="3" t="s">
        <v>49</v>
      </c>
      <c r="D35" s="3" t="s">
        <v>34</v>
      </c>
      <c r="E35" s="3" t="s">
        <v>20</v>
      </c>
      <c r="F35" s="3" t="s">
        <v>134</v>
      </c>
      <c r="G35" s="2" t="s">
        <v>202</v>
      </c>
      <c r="H35" s="2" t="s">
        <v>208</v>
      </c>
      <c r="I35" s="2" t="s">
        <v>209</v>
      </c>
      <c r="J35" s="2" t="s">
        <v>210</v>
      </c>
      <c r="K35" s="2" t="s">
        <v>211</v>
      </c>
      <c r="L35" s="2"/>
      <c r="M35" s="2"/>
      <c r="N35" s="2"/>
      <c r="O35" s="2"/>
      <c r="P35" s="4" t="s">
        <v>69</v>
      </c>
    </row>
    <row r="36" customFormat="false" ht="23.85" hidden="false" customHeight="false" outlineLevel="0" collapsed="false">
      <c r="A36" s="2" t="s">
        <v>16</v>
      </c>
      <c r="B36" s="2" t="s">
        <v>212</v>
      </c>
      <c r="C36" s="3" t="s">
        <v>18</v>
      </c>
      <c r="D36" s="3" t="s">
        <v>34</v>
      </c>
      <c r="E36" s="3" t="s">
        <v>35</v>
      </c>
      <c r="F36" s="3" t="s">
        <v>134</v>
      </c>
      <c r="G36" s="2" t="s">
        <v>202</v>
      </c>
      <c r="H36" s="2" t="s">
        <v>213</v>
      </c>
      <c r="I36" s="2" t="s">
        <v>214</v>
      </c>
      <c r="J36" s="2" t="s">
        <v>215</v>
      </c>
      <c r="K36" s="2" t="s">
        <v>216</v>
      </c>
      <c r="L36" s="2" t="s">
        <v>217</v>
      </c>
      <c r="M36" s="2"/>
      <c r="N36" s="2"/>
      <c r="O36" s="2"/>
      <c r="P36" s="4" t="s">
        <v>218</v>
      </c>
    </row>
    <row r="37" customFormat="false" ht="35.05" hidden="false" customHeight="false" outlineLevel="0" collapsed="false">
      <c r="A37" s="2" t="s">
        <v>16</v>
      </c>
      <c r="B37" s="2" t="s">
        <v>219</v>
      </c>
      <c r="C37" s="3" t="s">
        <v>49</v>
      </c>
      <c r="D37" s="3" t="s">
        <v>71</v>
      </c>
      <c r="E37" s="3" t="s">
        <v>20</v>
      </c>
      <c r="F37" s="3" t="s">
        <v>134</v>
      </c>
      <c r="G37" s="2" t="s">
        <v>202</v>
      </c>
      <c r="H37" s="2" t="s">
        <v>220</v>
      </c>
      <c r="I37" s="2" t="s">
        <v>221</v>
      </c>
      <c r="J37" s="2" t="s">
        <v>222</v>
      </c>
      <c r="K37" s="2" t="s">
        <v>223</v>
      </c>
      <c r="L37" s="2"/>
      <c r="M37" s="2"/>
      <c r="N37" s="2"/>
      <c r="O37" s="2"/>
      <c r="P37" s="4" t="s">
        <v>47</v>
      </c>
    </row>
    <row r="38" customFormat="false" ht="23.85" hidden="false" customHeight="false" outlineLevel="0" collapsed="false">
      <c r="A38" s="2" t="s">
        <v>16</v>
      </c>
      <c r="B38" s="2" t="s">
        <v>224</v>
      </c>
      <c r="C38" s="3" t="s">
        <v>18</v>
      </c>
      <c r="D38" s="3" t="s">
        <v>19</v>
      </c>
      <c r="E38" s="3" t="s">
        <v>20</v>
      </c>
      <c r="F38" s="3" t="s">
        <v>134</v>
      </c>
      <c r="G38" s="2" t="s">
        <v>225</v>
      </c>
      <c r="H38" s="2" t="s">
        <v>226</v>
      </c>
      <c r="I38" s="2" t="s">
        <v>227</v>
      </c>
      <c r="J38" s="2" t="s">
        <v>228</v>
      </c>
      <c r="K38" s="2" t="s">
        <v>229</v>
      </c>
      <c r="L38" s="2"/>
      <c r="M38" s="2"/>
      <c r="N38" s="2"/>
      <c r="O38" s="2"/>
      <c r="P38" s="4" t="s">
        <v>26</v>
      </c>
    </row>
    <row r="39" customFormat="false" ht="23.85" hidden="false" customHeight="false" outlineLevel="0" collapsed="false">
      <c r="A39" s="2" t="s">
        <v>16</v>
      </c>
      <c r="B39" s="2" t="s">
        <v>230</v>
      </c>
      <c r="C39" s="3" t="s">
        <v>49</v>
      </c>
      <c r="D39" s="3" t="s">
        <v>34</v>
      </c>
      <c r="E39" s="3" t="s">
        <v>20</v>
      </c>
      <c r="F39" s="3" t="s">
        <v>134</v>
      </c>
      <c r="G39" s="2" t="s">
        <v>225</v>
      </c>
      <c r="H39" s="2" t="s">
        <v>231</v>
      </c>
      <c r="I39" s="2" t="s">
        <v>232</v>
      </c>
      <c r="J39" s="2" t="s">
        <v>233</v>
      </c>
      <c r="K39" s="2" t="s">
        <v>234</v>
      </c>
      <c r="L39" s="2"/>
      <c r="M39" s="2"/>
      <c r="N39" s="2"/>
      <c r="O39" s="2"/>
      <c r="P39" s="4" t="s">
        <v>26</v>
      </c>
    </row>
    <row r="40" customFormat="false" ht="23.85" hidden="false" customHeight="false" outlineLevel="0" collapsed="false">
      <c r="A40" s="2" t="s">
        <v>16</v>
      </c>
      <c r="B40" s="2" t="s">
        <v>235</v>
      </c>
      <c r="C40" s="3" t="s">
        <v>18</v>
      </c>
      <c r="D40" s="3" t="s">
        <v>34</v>
      </c>
      <c r="E40" s="3" t="s">
        <v>35</v>
      </c>
      <c r="F40" s="3" t="s">
        <v>134</v>
      </c>
      <c r="G40" s="2" t="s">
        <v>225</v>
      </c>
      <c r="H40" s="2" t="s">
        <v>236</v>
      </c>
      <c r="I40" s="2" t="s">
        <v>237</v>
      </c>
      <c r="J40" s="2" t="s">
        <v>238</v>
      </c>
      <c r="K40" s="2" t="s">
        <v>239</v>
      </c>
      <c r="L40" s="2" t="s">
        <v>240</v>
      </c>
      <c r="M40" s="2"/>
      <c r="N40" s="2"/>
      <c r="O40" s="2"/>
      <c r="P40" s="4" t="s">
        <v>241</v>
      </c>
    </row>
    <row r="41" customFormat="false" ht="23.85" hidden="false" customHeight="false" outlineLevel="0" collapsed="false">
      <c r="A41" s="2" t="s">
        <v>16</v>
      </c>
      <c r="B41" s="2" t="s">
        <v>242</v>
      </c>
      <c r="C41" s="3" t="s">
        <v>49</v>
      </c>
      <c r="D41" s="3" t="s">
        <v>71</v>
      </c>
      <c r="E41" s="3" t="s">
        <v>20</v>
      </c>
      <c r="F41" s="3" t="s">
        <v>134</v>
      </c>
      <c r="G41" s="2" t="s">
        <v>225</v>
      </c>
      <c r="H41" s="2" t="s">
        <v>243</v>
      </c>
      <c r="I41" s="2" t="s">
        <v>244</v>
      </c>
      <c r="J41" s="2" t="s">
        <v>245</v>
      </c>
      <c r="K41" s="2" t="s">
        <v>246</v>
      </c>
      <c r="L41" s="2"/>
      <c r="M41" s="2"/>
      <c r="N41" s="2"/>
      <c r="O41" s="2"/>
      <c r="P41" s="4" t="s">
        <v>32</v>
      </c>
    </row>
    <row r="42" customFormat="false" ht="46.25" hidden="false" customHeight="false" outlineLevel="0" collapsed="false">
      <c r="A42" s="2" t="s">
        <v>16</v>
      </c>
      <c r="B42" s="2" t="s">
        <v>247</v>
      </c>
      <c r="C42" s="3" t="s">
        <v>18</v>
      </c>
      <c r="D42" s="3" t="s">
        <v>19</v>
      </c>
      <c r="E42" s="3" t="s">
        <v>20</v>
      </c>
      <c r="F42" s="3" t="s">
        <v>134</v>
      </c>
      <c r="G42" s="2" t="s">
        <v>248</v>
      </c>
      <c r="H42" s="2" t="s">
        <v>249</v>
      </c>
      <c r="I42" s="2" t="s">
        <v>250</v>
      </c>
      <c r="J42" s="2" t="s">
        <v>251</v>
      </c>
      <c r="K42" s="2" t="s">
        <v>252</v>
      </c>
      <c r="L42" s="2"/>
      <c r="M42" s="2"/>
      <c r="N42" s="2"/>
      <c r="O42" s="2"/>
      <c r="P42" s="4" t="s">
        <v>26</v>
      </c>
    </row>
    <row r="43" customFormat="false" ht="23.85" hidden="false" customHeight="false" outlineLevel="0" collapsed="false">
      <c r="A43" s="2" t="s">
        <v>16</v>
      </c>
      <c r="B43" s="2" t="s">
        <v>253</v>
      </c>
      <c r="C43" s="3" t="s">
        <v>18</v>
      </c>
      <c r="D43" s="3" t="s">
        <v>34</v>
      </c>
      <c r="E43" s="3" t="s">
        <v>20</v>
      </c>
      <c r="F43" s="3" t="s">
        <v>134</v>
      </c>
      <c r="G43" s="2" t="s">
        <v>248</v>
      </c>
      <c r="H43" s="2" t="s">
        <v>254</v>
      </c>
      <c r="I43" s="2" t="s">
        <v>255</v>
      </c>
      <c r="J43" s="2" t="s">
        <v>256</v>
      </c>
      <c r="K43" s="2" t="s">
        <v>257</v>
      </c>
      <c r="L43" s="2"/>
      <c r="M43" s="2"/>
      <c r="N43" s="2"/>
      <c r="O43" s="2"/>
      <c r="P43" s="4" t="s">
        <v>32</v>
      </c>
    </row>
    <row r="44" customFormat="false" ht="23.85" hidden="false" customHeight="false" outlineLevel="0" collapsed="false">
      <c r="A44" s="2" t="s">
        <v>16</v>
      </c>
      <c r="B44" s="2" t="s">
        <v>258</v>
      </c>
      <c r="C44" s="3" t="s">
        <v>49</v>
      </c>
      <c r="D44" s="3" t="s">
        <v>34</v>
      </c>
      <c r="E44" s="3" t="s">
        <v>20</v>
      </c>
      <c r="F44" s="3" t="s">
        <v>134</v>
      </c>
      <c r="G44" s="2" t="s">
        <v>248</v>
      </c>
      <c r="H44" s="2" t="s">
        <v>259</v>
      </c>
      <c r="I44" s="2" t="s">
        <v>260</v>
      </c>
      <c r="J44" s="2" t="s">
        <v>261</v>
      </c>
      <c r="K44" s="2" t="s">
        <v>262</v>
      </c>
      <c r="L44" s="2"/>
      <c r="M44" s="2"/>
      <c r="N44" s="2"/>
      <c r="O44" s="2"/>
      <c r="P44" s="4" t="s">
        <v>69</v>
      </c>
    </row>
    <row r="45" customFormat="false" ht="23.85" hidden="false" customHeight="false" outlineLevel="0" collapsed="false">
      <c r="A45" s="2" t="s">
        <v>16</v>
      </c>
      <c r="B45" s="2" t="s">
        <v>263</v>
      </c>
      <c r="C45" s="3" t="s">
        <v>49</v>
      </c>
      <c r="D45" s="3" t="s">
        <v>71</v>
      </c>
      <c r="E45" s="3" t="s">
        <v>35</v>
      </c>
      <c r="F45" s="3" t="s">
        <v>134</v>
      </c>
      <c r="G45" s="2" t="s">
        <v>248</v>
      </c>
      <c r="H45" s="2" t="s">
        <v>264</v>
      </c>
      <c r="I45" s="2" t="s">
        <v>265</v>
      </c>
      <c r="J45" s="2" t="s">
        <v>266</v>
      </c>
      <c r="K45" s="2" t="s">
        <v>267</v>
      </c>
      <c r="L45" s="2" t="s">
        <v>268</v>
      </c>
      <c r="M45" s="2"/>
      <c r="N45" s="2"/>
      <c r="O45" s="2"/>
      <c r="P45" s="4" t="s">
        <v>269</v>
      </c>
    </row>
    <row r="46" customFormat="false" ht="15" hidden="false" customHeight="false" outlineLevel="0" collapsed="false">
      <c r="A46" s="2" t="s">
        <v>16</v>
      </c>
      <c r="B46" s="2" t="s">
        <v>270</v>
      </c>
      <c r="C46" s="3" t="s">
        <v>18</v>
      </c>
      <c r="D46" s="3" t="s">
        <v>19</v>
      </c>
      <c r="E46" s="3" t="s">
        <v>20</v>
      </c>
      <c r="F46" s="3" t="s">
        <v>134</v>
      </c>
      <c r="G46" s="2" t="s">
        <v>271</v>
      </c>
      <c r="H46" s="2" t="s">
        <v>272</v>
      </c>
      <c r="I46" s="2" t="s">
        <v>273</v>
      </c>
      <c r="J46" s="2" t="s">
        <v>274</v>
      </c>
      <c r="K46" s="2" t="s">
        <v>275</v>
      </c>
      <c r="L46" s="2"/>
      <c r="M46" s="2"/>
      <c r="N46" s="2"/>
      <c r="O46" s="2"/>
      <c r="P46" s="4" t="s">
        <v>47</v>
      </c>
    </row>
    <row r="47" customFormat="false" ht="23.85" hidden="false" customHeight="false" outlineLevel="0" collapsed="false">
      <c r="A47" s="2" t="s">
        <v>16</v>
      </c>
      <c r="B47" s="2" t="s">
        <v>276</v>
      </c>
      <c r="C47" s="3" t="s">
        <v>49</v>
      </c>
      <c r="D47" s="3" t="s">
        <v>34</v>
      </c>
      <c r="E47" s="3" t="s">
        <v>20</v>
      </c>
      <c r="F47" s="3" t="s">
        <v>134</v>
      </c>
      <c r="G47" s="2" t="s">
        <v>271</v>
      </c>
      <c r="H47" s="2" t="s">
        <v>277</v>
      </c>
      <c r="I47" s="2" t="s">
        <v>278</v>
      </c>
      <c r="J47" s="2" t="s">
        <v>279</v>
      </c>
      <c r="K47" s="2" t="s">
        <v>280</v>
      </c>
      <c r="L47" s="2"/>
      <c r="M47" s="2"/>
      <c r="N47" s="2"/>
      <c r="O47" s="2"/>
      <c r="P47" s="4" t="s">
        <v>32</v>
      </c>
    </row>
    <row r="48" customFormat="false" ht="23.85" hidden="false" customHeight="false" outlineLevel="0" collapsed="false">
      <c r="A48" s="2" t="s">
        <v>16</v>
      </c>
      <c r="B48" s="2" t="s">
        <v>281</v>
      </c>
      <c r="C48" s="3" t="s">
        <v>18</v>
      </c>
      <c r="D48" s="3" t="s">
        <v>34</v>
      </c>
      <c r="E48" s="3" t="s">
        <v>35</v>
      </c>
      <c r="F48" s="3" t="s">
        <v>134</v>
      </c>
      <c r="G48" s="2" t="s">
        <v>271</v>
      </c>
      <c r="H48" s="2" t="s">
        <v>282</v>
      </c>
      <c r="I48" s="2" t="s">
        <v>283</v>
      </c>
      <c r="J48" s="2" t="s">
        <v>284</v>
      </c>
      <c r="K48" s="2" t="s">
        <v>285</v>
      </c>
      <c r="L48" s="2" t="s">
        <v>286</v>
      </c>
      <c r="M48" s="2"/>
      <c r="N48" s="2"/>
      <c r="O48" s="2"/>
      <c r="P48" s="4" t="s">
        <v>218</v>
      </c>
    </row>
    <row r="49" customFormat="false" ht="23.85" hidden="false" customHeight="false" outlineLevel="0" collapsed="false">
      <c r="A49" s="2" t="s">
        <v>16</v>
      </c>
      <c r="B49" s="2" t="s">
        <v>287</v>
      </c>
      <c r="C49" s="3" t="s">
        <v>49</v>
      </c>
      <c r="D49" s="3" t="s">
        <v>71</v>
      </c>
      <c r="E49" s="3" t="s">
        <v>20</v>
      </c>
      <c r="F49" s="3" t="s">
        <v>134</v>
      </c>
      <c r="G49" s="2" t="s">
        <v>271</v>
      </c>
      <c r="H49" s="2" t="s">
        <v>288</v>
      </c>
      <c r="I49" s="2" t="s">
        <v>289</v>
      </c>
      <c r="J49" s="2" t="s">
        <v>290</v>
      </c>
      <c r="K49" s="2" t="s">
        <v>291</v>
      </c>
      <c r="L49" s="2"/>
      <c r="M49" s="2"/>
      <c r="N49" s="2"/>
      <c r="O49" s="2"/>
      <c r="P49" s="4" t="s">
        <v>69</v>
      </c>
    </row>
    <row r="50" customFormat="false" ht="23.85" hidden="false" customHeight="false" outlineLevel="0" collapsed="false">
      <c r="A50" s="2" t="s">
        <v>16</v>
      </c>
      <c r="B50" s="2" t="s">
        <v>292</v>
      </c>
      <c r="C50" s="3" t="s">
        <v>18</v>
      </c>
      <c r="D50" s="3" t="s">
        <v>19</v>
      </c>
      <c r="E50" s="3" t="s">
        <v>20</v>
      </c>
      <c r="F50" s="3" t="s">
        <v>134</v>
      </c>
      <c r="G50" s="2" t="s">
        <v>293</v>
      </c>
      <c r="H50" s="2" t="s">
        <v>294</v>
      </c>
      <c r="I50" s="2" t="s">
        <v>295</v>
      </c>
      <c r="J50" s="2" t="s">
        <v>296</v>
      </c>
      <c r="K50" s="2" t="s">
        <v>297</v>
      </c>
      <c r="L50" s="2"/>
      <c r="M50" s="2"/>
      <c r="N50" s="2"/>
      <c r="O50" s="2"/>
      <c r="P50" s="4" t="s">
        <v>32</v>
      </c>
    </row>
    <row r="51" customFormat="false" ht="15" hidden="false" customHeight="false" outlineLevel="0" collapsed="false">
      <c r="A51" s="2" t="s">
        <v>16</v>
      </c>
      <c r="B51" s="2" t="s">
        <v>298</v>
      </c>
      <c r="C51" s="3" t="s">
        <v>18</v>
      </c>
      <c r="D51" s="3" t="s">
        <v>34</v>
      </c>
      <c r="E51" s="3" t="s">
        <v>20</v>
      </c>
      <c r="F51" s="3" t="s">
        <v>134</v>
      </c>
      <c r="G51" s="2" t="s">
        <v>293</v>
      </c>
      <c r="H51" s="2" t="s">
        <v>299</v>
      </c>
      <c r="I51" s="2" t="s">
        <v>300</v>
      </c>
      <c r="J51" s="2" t="s">
        <v>301</v>
      </c>
      <c r="K51" s="2" t="s">
        <v>302</v>
      </c>
      <c r="L51" s="2"/>
      <c r="M51" s="2"/>
      <c r="N51" s="2"/>
      <c r="O51" s="2"/>
      <c r="P51" s="4" t="s">
        <v>32</v>
      </c>
    </row>
    <row r="52" customFormat="false" ht="23.85" hidden="false" customHeight="false" outlineLevel="0" collapsed="false">
      <c r="A52" s="2" t="s">
        <v>16</v>
      </c>
      <c r="B52" s="2" t="s">
        <v>303</v>
      </c>
      <c r="C52" s="3" t="s">
        <v>49</v>
      </c>
      <c r="D52" s="3" t="s">
        <v>34</v>
      </c>
      <c r="E52" s="3" t="s">
        <v>35</v>
      </c>
      <c r="F52" s="3" t="s">
        <v>134</v>
      </c>
      <c r="G52" s="2" t="s">
        <v>293</v>
      </c>
      <c r="H52" s="2" t="s">
        <v>304</v>
      </c>
      <c r="I52" s="2" t="s">
        <v>305</v>
      </c>
      <c r="J52" s="2" t="s">
        <v>306</v>
      </c>
      <c r="K52" s="2" t="s">
        <v>307</v>
      </c>
      <c r="L52" s="2" t="s">
        <v>308</v>
      </c>
      <c r="M52" s="2"/>
      <c r="N52" s="2"/>
      <c r="O52" s="2"/>
      <c r="P52" s="4" t="s">
        <v>241</v>
      </c>
    </row>
    <row r="53" customFormat="false" ht="35.05" hidden="false" customHeight="false" outlineLevel="0" collapsed="false">
      <c r="A53" s="2" t="s">
        <v>16</v>
      </c>
      <c r="B53" s="2" t="s">
        <v>309</v>
      </c>
      <c r="C53" s="3" t="s">
        <v>49</v>
      </c>
      <c r="D53" s="3" t="s">
        <v>71</v>
      </c>
      <c r="E53" s="3" t="s">
        <v>20</v>
      </c>
      <c r="F53" s="3" t="s">
        <v>134</v>
      </c>
      <c r="G53" s="2" t="s">
        <v>293</v>
      </c>
      <c r="H53" s="2" t="s">
        <v>310</v>
      </c>
      <c r="I53" s="2" t="s">
        <v>311</v>
      </c>
      <c r="J53" s="2" t="s">
        <v>312</v>
      </c>
      <c r="K53" s="2" t="s">
        <v>313</v>
      </c>
      <c r="L53" s="2"/>
      <c r="M53" s="2"/>
      <c r="N53" s="2"/>
      <c r="O53" s="2"/>
      <c r="P53" s="4" t="s">
        <v>26</v>
      </c>
    </row>
    <row r="54" customFormat="false" ht="23.85" hidden="false" customHeight="false" outlineLevel="0" collapsed="false">
      <c r="A54" s="2" t="s">
        <v>16</v>
      </c>
      <c r="B54" s="2" t="s">
        <v>314</v>
      </c>
      <c r="C54" s="3" t="s">
        <v>18</v>
      </c>
      <c r="D54" s="3" t="s">
        <v>19</v>
      </c>
      <c r="E54" s="3" t="s">
        <v>20</v>
      </c>
      <c r="F54" s="3" t="s">
        <v>134</v>
      </c>
      <c r="G54" s="2" t="s">
        <v>315</v>
      </c>
      <c r="H54" s="2" t="s">
        <v>316</v>
      </c>
      <c r="I54" s="2" t="s">
        <v>317</v>
      </c>
      <c r="J54" s="2" t="s">
        <v>318</v>
      </c>
      <c r="K54" s="2" t="s">
        <v>319</v>
      </c>
      <c r="L54" s="2"/>
      <c r="M54" s="2"/>
      <c r="N54" s="2"/>
      <c r="O54" s="2"/>
      <c r="P54" s="4" t="s">
        <v>26</v>
      </c>
    </row>
    <row r="55" customFormat="false" ht="15" hidden="false" customHeight="false" outlineLevel="0" collapsed="false">
      <c r="A55" s="2" t="s">
        <v>16</v>
      </c>
      <c r="B55" s="2" t="s">
        <v>320</v>
      </c>
      <c r="C55" s="3" t="s">
        <v>49</v>
      </c>
      <c r="D55" s="3" t="s">
        <v>34</v>
      </c>
      <c r="E55" s="3" t="s">
        <v>20</v>
      </c>
      <c r="F55" s="3" t="s">
        <v>134</v>
      </c>
      <c r="G55" s="2" t="s">
        <v>315</v>
      </c>
      <c r="H55" s="2" t="s">
        <v>321</v>
      </c>
      <c r="I55" s="2" t="s">
        <v>322</v>
      </c>
      <c r="J55" s="2" t="s">
        <v>323</v>
      </c>
      <c r="K55" s="2" t="s">
        <v>324</v>
      </c>
      <c r="L55" s="2"/>
      <c r="M55" s="2"/>
      <c r="N55" s="2"/>
      <c r="O55" s="2"/>
      <c r="P55" s="4" t="s">
        <v>32</v>
      </c>
    </row>
    <row r="56" customFormat="false" ht="23.85" hidden="false" customHeight="false" outlineLevel="0" collapsed="false">
      <c r="A56" s="2" t="s">
        <v>16</v>
      </c>
      <c r="B56" s="2" t="s">
        <v>325</v>
      </c>
      <c r="C56" s="3" t="s">
        <v>18</v>
      </c>
      <c r="D56" s="3" t="s">
        <v>34</v>
      </c>
      <c r="E56" s="3" t="s">
        <v>35</v>
      </c>
      <c r="F56" s="3" t="s">
        <v>134</v>
      </c>
      <c r="G56" s="2" t="s">
        <v>315</v>
      </c>
      <c r="H56" s="2" t="s">
        <v>326</v>
      </c>
      <c r="I56" s="2" t="s">
        <v>327</v>
      </c>
      <c r="J56" s="2" t="s">
        <v>328</v>
      </c>
      <c r="K56" s="2" t="s">
        <v>329</v>
      </c>
      <c r="L56" s="2" t="s">
        <v>330</v>
      </c>
      <c r="M56" s="2"/>
      <c r="N56" s="2"/>
      <c r="O56" s="2"/>
      <c r="P56" s="4" t="s">
        <v>218</v>
      </c>
    </row>
    <row r="57" customFormat="false" ht="35.05" hidden="false" customHeight="false" outlineLevel="0" collapsed="false">
      <c r="A57" s="2" t="s">
        <v>16</v>
      </c>
      <c r="B57" s="2" t="s">
        <v>331</v>
      </c>
      <c r="C57" s="3" t="s">
        <v>49</v>
      </c>
      <c r="D57" s="3" t="s">
        <v>71</v>
      </c>
      <c r="E57" s="3" t="s">
        <v>20</v>
      </c>
      <c r="F57" s="3" t="s">
        <v>134</v>
      </c>
      <c r="G57" s="2" t="s">
        <v>315</v>
      </c>
      <c r="H57" s="2" t="s">
        <v>332</v>
      </c>
      <c r="I57" s="2" t="s">
        <v>333</v>
      </c>
      <c r="J57" s="2" t="s">
        <v>334</v>
      </c>
      <c r="K57" s="2" t="s">
        <v>335</v>
      </c>
      <c r="L57" s="2"/>
      <c r="M57" s="2"/>
      <c r="N57" s="2"/>
      <c r="O57" s="2"/>
      <c r="P57" s="4" t="s">
        <v>26</v>
      </c>
    </row>
    <row r="58" customFormat="false" ht="35.05" hidden="false" customHeight="false" outlineLevel="0" collapsed="false">
      <c r="A58" s="2" t="s">
        <v>16</v>
      </c>
      <c r="B58" s="2" t="s">
        <v>336</v>
      </c>
      <c r="C58" s="3" t="s">
        <v>18</v>
      </c>
      <c r="D58" s="3" t="s">
        <v>19</v>
      </c>
      <c r="E58" s="3" t="s">
        <v>20</v>
      </c>
      <c r="F58" s="3" t="s">
        <v>134</v>
      </c>
      <c r="G58" s="2" t="s">
        <v>337</v>
      </c>
      <c r="H58" s="2" t="s">
        <v>338</v>
      </c>
      <c r="I58" s="2" t="s">
        <v>339</v>
      </c>
      <c r="J58" s="2" t="s">
        <v>340</v>
      </c>
      <c r="K58" s="2" t="s">
        <v>341</v>
      </c>
      <c r="L58" s="2"/>
      <c r="M58" s="2"/>
      <c r="N58" s="2"/>
      <c r="O58" s="2"/>
      <c r="P58" s="4" t="s">
        <v>26</v>
      </c>
    </row>
    <row r="59" customFormat="false" ht="23.85" hidden="false" customHeight="false" outlineLevel="0" collapsed="false">
      <c r="A59" s="2" t="s">
        <v>16</v>
      </c>
      <c r="B59" s="2" t="s">
        <v>342</v>
      </c>
      <c r="C59" s="3" t="s">
        <v>49</v>
      </c>
      <c r="D59" s="3" t="s">
        <v>34</v>
      </c>
      <c r="E59" s="3" t="s">
        <v>35</v>
      </c>
      <c r="F59" s="3" t="s">
        <v>134</v>
      </c>
      <c r="G59" s="2" t="s">
        <v>337</v>
      </c>
      <c r="H59" s="2" t="s">
        <v>343</v>
      </c>
      <c r="I59" s="2" t="s">
        <v>344</v>
      </c>
      <c r="J59" s="2" t="s">
        <v>345</v>
      </c>
      <c r="K59" s="2" t="s">
        <v>346</v>
      </c>
      <c r="L59" s="2" t="s">
        <v>347</v>
      </c>
      <c r="M59" s="2"/>
      <c r="N59" s="2"/>
      <c r="O59" s="2"/>
      <c r="P59" s="4" t="s">
        <v>348</v>
      </c>
    </row>
    <row r="60" customFormat="false" ht="35.05" hidden="false" customHeight="false" outlineLevel="0" collapsed="false">
      <c r="A60" s="2" t="s">
        <v>16</v>
      </c>
      <c r="B60" s="2" t="s">
        <v>349</v>
      </c>
      <c r="C60" s="3" t="s">
        <v>18</v>
      </c>
      <c r="D60" s="3" t="s">
        <v>34</v>
      </c>
      <c r="E60" s="3" t="s">
        <v>20</v>
      </c>
      <c r="F60" s="3" t="s">
        <v>134</v>
      </c>
      <c r="G60" s="2" t="s">
        <v>337</v>
      </c>
      <c r="H60" s="2" t="s">
        <v>350</v>
      </c>
      <c r="I60" s="2" t="s">
        <v>351</v>
      </c>
      <c r="J60" s="2" t="s">
        <v>352</v>
      </c>
      <c r="K60" s="2" t="s">
        <v>353</v>
      </c>
      <c r="L60" s="2"/>
      <c r="M60" s="2"/>
      <c r="N60" s="2"/>
      <c r="O60" s="2"/>
      <c r="P60" s="4" t="s">
        <v>32</v>
      </c>
    </row>
    <row r="61" customFormat="false" ht="35.05" hidden="false" customHeight="false" outlineLevel="0" collapsed="false">
      <c r="A61" s="2" t="s">
        <v>16</v>
      </c>
      <c r="B61" s="2" t="s">
        <v>354</v>
      </c>
      <c r="C61" s="3" t="s">
        <v>49</v>
      </c>
      <c r="D61" s="3" t="s">
        <v>71</v>
      </c>
      <c r="E61" s="3" t="s">
        <v>20</v>
      </c>
      <c r="F61" s="3" t="s">
        <v>134</v>
      </c>
      <c r="G61" s="2" t="s">
        <v>337</v>
      </c>
      <c r="H61" s="2" t="s">
        <v>355</v>
      </c>
      <c r="I61" s="2" t="s">
        <v>356</v>
      </c>
      <c r="J61" s="2" t="s">
        <v>357</v>
      </c>
      <c r="K61" s="2" t="s">
        <v>358</v>
      </c>
      <c r="L61" s="2"/>
      <c r="M61" s="2"/>
      <c r="N61" s="2"/>
      <c r="O61" s="2"/>
      <c r="P61" s="4" t="s">
        <v>26</v>
      </c>
    </row>
  </sheetData>
  <autoFilter ref="A1:P61"/>
  <dataValidations count="4">
    <dataValidation allowBlank="true" errorStyle="stop" operator="between" showDropDown="false" showErrorMessage="false" showInputMessage="false" sqref="C2:C1000" type="list">
      <formula1>"Lý thuyết,Bài tập"</formula1>
      <formula2>0</formula2>
    </dataValidation>
    <dataValidation allowBlank="true" errorStyle="stop" operator="between" showDropDown="false" showErrorMessage="false" showInputMessage="false" sqref="D2:D1000" type="list">
      <formula1>"Dễ,Trung bình,Khó"</formula1>
      <formula2>0</formula2>
    </dataValidation>
    <dataValidation allowBlank="true" errorStyle="stop" operator="between" showDropDown="false" showErrorMessage="false" showInputMessage="false" sqref="E2:E1000" type="list">
      <formula1>"Chọn 1,Chọn nhiều"</formula1>
      <formula2>0</formula2>
    </dataValidation>
    <dataValidation allowBlank="true" errorStyle="stop" operator="between" showDropDown="false" showErrorMessage="false" showInputMessage="false" sqref="F2:F1000" type="list">
      <formula1>"Chung,Riêng"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5" t="s">
        <v>359</v>
      </c>
      <c r="B1" s="5" t="s">
        <v>360</v>
      </c>
    </row>
    <row r="2" customFormat="false" ht="15" hidden="false" customHeight="false" outlineLevel="0" collapsed="false">
      <c r="A2" s="6" t="s">
        <v>0</v>
      </c>
      <c r="B2" s="6" t="s">
        <v>361</v>
      </c>
    </row>
    <row r="3" customFormat="false" ht="15" hidden="false" customHeight="false" outlineLevel="0" collapsed="false">
      <c r="A3" s="6" t="s">
        <v>1</v>
      </c>
      <c r="B3" s="6" t="s">
        <v>362</v>
      </c>
    </row>
    <row r="4" customFormat="false" ht="15" hidden="false" customHeight="false" outlineLevel="0" collapsed="false">
      <c r="A4" s="6" t="s">
        <v>2</v>
      </c>
      <c r="B4" s="6" t="s">
        <v>363</v>
      </c>
    </row>
    <row r="5" customFormat="false" ht="15" hidden="false" customHeight="false" outlineLevel="0" collapsed="false">
      <c r="A5" s="6" t="s">
        <v>3</v>
      </c>
      <c r="B5" s="6" t="s">
        <v>364</v>
      </c>
    </row>
    <row r="6" customFormat="false" ht="15" hidden="false" customHeight="false" outlineLevel="0" collapsed="false">
      <c r="A6" s="6" t="s">
        <v>4</v>
      </c>
      <c r="B6" s="6" t="s">
        <v>365</v>
      </c>
    </row>
    <row r="7" customFormat="false" ht="15" hidden="false" customHeight="false" outlineLevel="0" collapsed="false">
      <c r="A7" s="6" t="s">
        <v>5</v>
      </c>
      <c r="B7" s="6" t="s">
        <v>366</v>
      </c>
    </row>
    <row r="8" customFormat="false" ht="23.85" hidden="false" customHeight="false" outlineLevel="0" collapsed="false">
      <c r="A8" s="6" t="s">
        <v>6</v>
      </c>
      <c r="B8" s="6" t="s">
        <v>367</v>
      </c>
    </row>
    <row r="9" customFormat="false" ht="15" hidden="false" customHeight="false" outlineLevel="0" collapsed="false">
      <c r="A9" s="6" t="s">
        <v>368</v>
      </c>
      <c r="B9" s="6" t="s">
        <v>369</v>
      </c>
    </row>
    <row r="10" customFormat="false" ht="15" hidden="false" customHeight="false" outlineLevel="0" collapsed="false">
      <c r="A10" s="6" t="s">
        <v>15</v>
      </c>
      <c r="B10" s="6" t="s">
        <v>370</v>
      </c>
    </row>
    <row r="11" customFormat="false" ht="15" hidden="false" customHeight="false" outlineLevel="0" collapsed="false">
      <c r="A11" s="6"/>
      <c r="B11" s="6"/>
    </row>
    <row r="12" customFormat="false" ht="15" hidden="false" customHeight="false" outlineLevel="0" collapsed="false">
      <c r="A12" s="7" t="s">
        <v>371</v>
      </c>
      <c r="B12" s="6"/>
    </row>
    <row r="13" customFormat="false" ht="15" hidden="false" customHeight="false" outlineLevel="0" collapsed="false">
      <c r="A13" s="7" t="s">
        <v>372</v>
      </c>
      <c r="B13" s="6" t="n">
        <f aca="false">COUNTA(CauHoi!B2:B1000)</f>
        <v>60</v>
      </c>
    </row>
    <row r="14" customFormat="false" ht="15" hidden="false" customHeight="false" outlineLevel="0" collapsed="false">
      <c r="A14" s="7" t="s">
        <v>373</v>
      </c>
      <c r="B14" s="6" t="n">
        <f aca="false">COUNTIF(CauHoi!F2:F1000,"Chung")</f>
        <v>20</v>
      </c>
    </row>
    <row r="15" customFormat="false" ht="15" hidden="false" customHeight="false" outlineLevel="0" collapsed="false">
      <c r="A15" s="7" t="s">
        <v>374</v>
      </c>
      <c r="B15" s="6" t="n">
        <f aca="false">COUNTIF(CauHoi!F2:F1000,"Riêng")</f>
        <v>40</v>
      </c>
    </row>
    <row r="16" customFormat="false" ht="15" hidden="false" customHeight="false" outlineLevel="0" collapsed="false">
      <c r="A16" s="7" t="s">
        <v>375</v>
      </c>
      <c r="B16" s="6" t="n">
        <f aca="false">SUMPRODUCT((CauHoi!G2:G1000&lt;&gt;"")/COUNTIF(CauHoi!G2:G1000,CauHoi!G2:G1000&amp;""))</f>
        <v>10</v>
      </c>
    </row>
    <row r="17" customFormat="false" ht="15" hidden="false" customHeight="false" outlineLevel="0" collapsed="false">
      <c r="A17" s="7" t="s">
        <v>376</v>
      </c>
      <c r="B17" s="6" t="n">
        <f aca="false">COUNTIF(CauHoi!D2:D1000,"Dễ")</f>
        <v>19</v>
      </c>
    </row>
    <row r="18" customFormat="false" ht="15" hidden="false" customHeight="false" outlineLevel="0" collapsed="false">
      <c r="A18" s="7" t="s">
        <v>377</v>
      </c>
      <c r="B18" s="6" t="n">
        <f aca="false">COUNTIF(CauHoi!D2:D1000,"Trung bình")</f>
        <v>28</v>
      </c>
    </row>
    <row r="19" customFormat="false" ht="15" hidden="false" customHeight="false" outlineLevel="0" collapsed="false">
      <c r="A19" s="7" t="s">
        <v>378</v>
      </c>
      <c r="B19" s="6" t="n">
        <f aca="false">COUNTIF(CauHoi!D2:D1000,"Khó")</f>
        <v>13</v>
      </c>
    </row>
    <row r="20" customFormat="false" ht="15" hidden="false" customHeight="false" outlineLevel="0" collapsed="false">
      <c r="A20" s="7" t="s">
        <v>379</v>
      </c>
      <c r="B20" s="6" t="n">
        <f aca="false">COUNTIF(CauHoi!E2:E1000,"Chọn nhiều")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2026-09-28T05:55:15Z</dcterms:created>
  <dc:creator>openpyxl</dc:creator>
  <dc:description/>
  <dc:language>en-US</dc:language>
  <cp:lastModifiedBy/>
  <dcterms:modified xsi:type="dcterms:W3CDTF">2026-09-28T05:55:15Z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